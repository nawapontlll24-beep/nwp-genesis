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" sheetId="1" r:id="rId5"/>
    <sheet state="visible" name="พ.ค." sheetId="2" r:id="rId6"/>
    <sheet state="hidden" name="ก.พ. 66" sheetId="3" r:id="rId7"/>
    <sheet state="visible" name="มิ.ย." sheetId="4" r:id="rId8"/>
    <sheet state="visible" name="ก.ค. " sheetId="5" r:id="rId9"/>
    <sheet state="visible" name="ส.ค. " sheetId="6" r:id="rId10"/>
    <sheet state="visible" name="ก.ย. " sheetId="7" r:id="rId11"/>
    <sheet state="visible" name="ต.ค. " sheetId="8" r:id="rId12"/>
    <sheet state="visible" name="พ.ย. " sheetId="9" r:id="rId13"/>
    <sheet state="visible" name="ธ.ค. " sheetId="10" r:id="rId14"/>
    <sheet state="visible" name="ม.ค. " sheetId="11" r:id="rId15"/>
    <sheet state="visible" name="ก.พ. " sheetId="12" r:id="rId16"/>
    <sheet state="visible" name="มี.ค. " sheetId="13" r:id="rId17"/>
    <sheet state="visible" name="เกณฑ์ดัชนีมวลกาย" sheetId="14" r:id="rId18"/>
    <sheet state="visible" name="เกณฑ์ส่วนสูง" sheetId="15" r:id="rId19"/>
  </sheets>
  <definedNames/>
  <calcPr/>
</workbook>
</file>

<file path=xl/sharedStrings.xml><?xml version="1.0" encoding="utf-8"?>
<sst xmlns="http://schemas.openxmlformats.org/spreadsheetml/2006/main" count="736" uniqueCount="99">
  <si>
    <t>ข้อมูลนักเรียน</t>
  </si>
  <si>
    <t>ชั้นประถมศึกษาปีที่  3</t>
  </si>
  <si>
    <t>โรงเรียน.</t>
  </si>
  <si>
    <t>ที่</t>
  </si>
  <si>
    <t>เลขประจำตัว</t>
  </si>
  <si>
    <t>ชื่อ - นามสกุล</t>
  </si>
  <si>
    <t>เพศ</t>
  </si>
  <si>
    <t>วัน เดือน  ปี  เกิด</t>
  </si>
  <si>
    <t>ด.ช. ห้องเรียน วิชาการ</t>
  </si>
  <si>
    <t>ชาย</t>
  </si>
  <si>
    <t>ด.ญ.ห้องเรียน วิชาการ</t>
  </si>
  <si>
    <t>หญิง</t>
  </si>
  <si>
    <t xml:space="preserve">แบบบันทึกน้ำหนัก - ส่วนสูง  ชั้นมัธยมศึกษาปีที่ 3   โรงเรียน..........................   ปีการศึกษา 2566   </t>
  </si>
  <si>
    <t xml:space="preserve"> ประจำเดือน  พฤษภาคม  พ.ศ.</t>
  </si>
  <si>
    <t>ชื่อ -นามสกุล</t>
  </si>
  <si>
    <t xml:space="preserve">วัน เดือน ปี </t>
  </si>
  <si>
    <t>อายุ</t>
  </si>
  <si>
    <t>น้ำหนัก</t>
  </si>
  <si>
    <t>ส่วนสูง</t>
  </si>
  <si>
    <t>ค่า BMI</t>
  </si>
  <si>
    <t>ผลการประเมิน</t>
  </si>
  <si>
    <t>เกิด</t>
  </si>
  <si>
    <t>บันทึก</t>
  </si>
  <si>
    <t>ปี</t>
  </si>
  <si>
    <t>เดือน</t>
  </si>
  <si>
    <t>วัน</t>
  </si>
  <si>
    <t>(ก.ก)</t>
  </si>
  <si>
    <t>(ซม.)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</si>
  <si>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</si>
  <si>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>สรุปผล</t>
  </si>
  <si>
    <t>จำนวนนักเรียนทั้งหมด</t>
  </si>
  <si>
    <t>คน</t>
  </si>
  <si>
    <t>จำนวนนักเรียนมีน้ำหนักสมส่วน</t>
  </si>
  <si>
    <t>คน       คิดเป็นร้อยละ</t>
  </si>
  <si>
    <t>จำนวนนักเรียน สูงตามเกณฑ์</t>
  </si>
  <si>
    <t>จำนวนนักเรียนมีน้ำหนักอ้วน</t>
  </si>
  <si>
    <t>จำนวนนักเรียน สูงเกินเกณฑ์</t>
  </si>
  <si>
    <t>จำนวนนักเรียนมีน้ำหนักท้วม</t>
  </si>
  <si>
    <t>จำนวนนักเรียน ค่อนข้างสูง</t>
  </si>
  <si>
    <t>จำนวนนักเรียนมีน้ำหนักผอม</t>
  </si>
  <si>
    <t>จำนวนนักเรียน ค่อนข้างเตี้ย</t>
  </si>
  <si>
    <t>จำนวนนักเรียนมีน้ำหนักผอมมาก</t>
  </si>
  <si>
    <t>จำนวนนักเรียน เตี้ย</t>
  </si>
  <si>
    <t>ลงชื่อ........................................................</t>
  </si>
  <si>
    <t>ครูประจำชั้น</t>
  </si>
  <si>
    <t>ผู้อำนวยการโรงเรียน</t>
  </si>
  <si>
    <t xml:space="preserve">      (นางสาวสุพัฒตรา ปลื้มชัย)</t>
  </si>
  <si>
    <t xml:space="preserve">      (นายห้องเรียน วิชาการ)</t>
  </si>
  <si>
    <t xml:space="preserve">แบบบันทึกน้ำหนัก - ส่วนสูง  ชั้นมัธยมศึกษาปีที่ 3   โรงเรียนบ้านหนองจอกวังกำแพง   ปีการศึกษา 2565   </t>
  </si>
  <si>
    <t xml:space="preserve"> ประจำเดือน กุมภาพันธ์  พ.ศ.2566</t>
  </si>
  <si>
    <r>
      <rPr>
        <rFont val="Sarabun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</si>
  <si>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      (นายจักรกฤษ  งามเลิศ)</t>
  </si>
  <si>
    <t xml:space="preserve">แบบบันทึกน้ำหนัก - ส่วนสูง  ชั้นมัธยมศึกษาปีที่ 3   โรงเรียน...................................บ้ ปีการศึกษา 2566   </t>
  </si>
  <si>
    <t xml:space="preserve"> ประจำเดือน  มิถุนายน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</si>
  <si>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</si>
  <si>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  ปีการศึกษา 2566   </t>
  </si>
  <si>
    <t xml:space="preserve"> ประจำเดือน  กรกฎาคม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</si>
  <si>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</si>
  <si>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   ปีการศึกษา 2566   </t>
  </si>
  <si>
    <t xml:space="preserve"> ประจำเดือน  สิงหาคม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</si>
  <si>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</si>
  <si>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โรงเรียน.....................................   ปีการศึกษา 2566   </t>
  </si>
  <si>
    <t xml:space="preserve"> ประจำเดือน  กันยายน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</si>
  <si>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</si>
  <si>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โรงเรียน.......................................   ปีการศึกษา 2566   </t>
  </si>
  <si>
    <t xml:space="preserve"> ประจำเดือน  ตุลาคม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</si>
  <si>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</si>
  <si>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โรงเรียน.....................................  ปีการศึกษา 2566   </t>
  </si>
  <si>
    <t xml:space="preserve"> ประจำเดือน  พฤศจิกายน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</si>
  <si>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</si>
  <si>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 ประจำเดือน  ธันวาคม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</si>
  <si>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</si>
  <si>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โรงเรีย...................................... ปีการศึกษา 2566   </t>
  </si>
  <si>
    <t xml:space="preserve"> ประจำเดือน  มกราคม 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</si>
  <si>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</si>
  <si>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โรงเรียน........................................ ปีการศึกษา 2566   </t>
  </si>
  <si>
    <t xml:space="preserve"> ประจำเดือน  กุมภาพันธ์ พ.ศ.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</si>
  <si>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</si>
  <si>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 xml:space="preserve">แบบบันทึกน้ำหนัก - ส่วนสูง  ชั้นมัธยมศึกษาปีที่ 3   โรงเรียน....................................   ปีการศึกษา 2566   </t>
  </si>
  <si>
    <r>
      <rPr>
        <rFont val="TH SarabunPSK"/>
        <color rgb="FFFF0000"/>
        <sz val="14.0"/>
      </rPr>
      <t xml:space="preserve">*** หมายเหตุ  กรอกข้อมูล </t>
    </r>
    <r>
      <rPr>
        <rFont val="TH SarabunPSK"/>
        <b/>
        <color rgb="FFFF0000"/>
        <sz val="14.0"/>
        <u/>
      </rPr>
      <t>เฉพาะ</t>
    </r>
    <r>
      <rPr>
        <rFont val="TH SarabunPSK"/>
        <b/>
        <color rgb="FFFF0000"/>
        <sz val="14.0"/>
      </rPr>
      <t xml:space="preserve"> ช่อง วันเดือนปีที่บันทึก/น้ำหนัก/ส่วนสูง เท่านั้น</t>
    </r>
  </si>
  <si>
    <t>เกณฑ์มาตรฐานสมรรถภาพทางกาย รายการดัชนีมวลกาย (Body Mass Index : BMI)
(กิโลกรัม / ตารางเมตร)</t>
  </si>
  <si>
    <t>เพศชาย</t>
  </si>
  <si>
    <t>เพศหญิง</t>
  </si>
  <si>
    <t>ผอมมาก</t>
  </si>
  <si>
    <t>ผอม</t>
  </si>
  <si>
    <t>สมส่วน</t>
  </si>
  <si>
    <t>ท้วม</t>
  </si>
  <si>
    <t>อ้วน</t>
  </si>
  <si>
    <t>เริ่ม</t>
  </si>
  <si>
    <t>ถึง</t>
  </si>
  <si>
    <t>ไม่จำกัด</t>
  </si>
  <si>
    <t>สำนักวิทยาศาสตร์การกีฬา กรมพลศึกษา กระทรวงการท่องเที่ยวและกีฬา, 2562</t>
  </si>
  <si>
    <t>เกณฑ์ส่วนสูงตามอายุ</t>
  </si>
  <si>
    <t>เตี้ย</t>
  </si>
  <si>
    <t>ค่อนข้างเตี้ย</t>
  </si>
  <si>
    <t>ส่วนสูงตามเกณฑ์</t>
  </si>
  <si>
    <t>ค่อนข้างสูง</t>
  </si>
  <si>
    <t>สูง</t>
  </si>
  <si>
    <t>กองโภชนาการกรมอนามัย,2543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</si>
</sst>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7041E]d\ mmmm\ yyyy"/>
    <numFmt numFmtId="165" formatCode="[$-1070000]d/mm/yyyy"/>
    <numFmt numFmtId="166" formatCode="0.0"/>
  </numFmts>
  <fonts count="17">
    <font>
      <sz val="11.0"/>
      <color theme="1"/>
      <name val="Calibri"/>
      <scheme val="minor"/>
    </font>
    <font>
      <sz val="12.0"/>
      <color theme="1"/>
      <name val="TH SarabunPSK"/>
    </font>
    <font>
      <sz val="16.0"/>
      <color theme="1"/>
      <name val="TH SarabunPSK"/>
    </font>
    <font>
      <b/>
      <sz val="16.0"/>
      <color theme="1"/>
      <name val="TH SarabunPSK"/>
    </font>
    <font>
      <sz val="18.0"/>
      <color theme="1"/>
      <name val="TH SarabunPSK"/>
    </font>
    <font>
      <b/>
      <sz val="18.0"/>
      <color theme="1"/>
      <name val="TH SarabunPSK"/>
    </font>
    <font/>
    <font>
      <sz val="14.0"/>
      <color rgb="FFFF0000"/>
      <name val="TH SarabunPSK"/>
    </font>
    <font>
      <sz val="14.0"/>
      <color theme="1"/>
      <name val="TH SarabunPSK"/>
    </font>
    <font>
      <sz val="18.0"/>
      <color theme="1"/>
      <name val="Sarabun"/>
    </font>
    <font>
      <b/>
      <sz val="18.0"/>
      <color theme="1"/>
      <name val="Sarabun"/>
    </font>
    <font>
      <b/>
      <sz val="16.0"/>
      <color theme="1"/>
      <name val="Sarabun"/>
    </font>
    <font>
      <sz val="16.0"/>
      <color theme="1"/>
      <name val="Sarabun"/>
    </font>
    <font>
      <sz val="14.0"/>
      <color rgb="FFFF0000"/>
      <name val="Sarabun"/>
    </font>
    <font>
      <b/>
      <sz val="14.0"/>
      <color theme="1"/>
      <name val="Sarabun"/>
    </font>
    <font>
      <sz val="14.0"/>
      <color theme="1"/>
      <name val="Sarabun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 readingOrder="0"/>
    </xf>
    <xf borderId="3" fillId="2" fontId="3" numFmtId="0" xfId="0" applyAlignment="1" applyBorder="1" applyFont="1">
      <alignment horizontal="center"/>
    </xf>
    <xf borderId="5" fillId="0" fontId="6" numFmtId="0" xfId="0" applyBorder="1" applyFont="1"/>
    <xf borderId="4" fillId="0" fontId="6" numFmtId="0" xfId="0" applyBorder="1" applyFont="1"/>
    <xf borderId="3" fillId="2" fontId="3" numFmtId="0" xfId="0" applyAlignment="1" applyBorder="1" applyFont="1">
      <alignment horizontal="center" vertical="top"/>
    </xf>
    <xf borderId="6" fillId="2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8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/>
    </xf>
    <xf borderId="2" fillId="2" fontId="11" numFmtId="0" xfId="0" applyAlignment="1" applyBorder="1" applyFont="1">
      <alignment horizontal="center"/>
    </xf>
    <xf borderId="3" fillId="2" fontId="11" numFmtId="0" xfId="0" applyAlignment="1" applyBorder="1" applyFont="1">
      <alignment horizontal="center"/>
    </xf>
    <xf borderId="3" fillId="2" fontId="11" numFmtId="0" xfId="0" applyAlignment="1" applyBorder="1" applyFont="1">
      <alignment horizontal="center" vertical="top"/>
    </xf>
    <xf borderId="6" fillId="2" fontId="11" numFmtId="0" xfId="0" applyAlignment="1" applyBorder="1" applyFont="1">
      <alignment horizontal="center"/>
    </xf>
    <xf borderId="1" fillId="2" fontId="11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Border="1" applyFont="1"/>
    <xf borderId="1" fillId="0" fontId="12" numFmtId="164" xfId="0" applyAlignment="1" applyBorder="1" applyFont="1" applyNumberFormat="1">
      <alignment horizontal="center"/>
    </xf>
    <xf borderId="1" fillId="0" fontId="12" numFmtId="2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/>
    </xf>
    <xf borderId="0" fillId="0" fontId="13" numFmtId="164" xfId="0" applyAlignment="1" applyFont="1" applyNumberFormat="1">
      <alignment horizontal="center"/>
    </xf>
    <xf borderId="0" fillId="0" fontId="12" numFmtId="2" xfId="0" applyAlignment="1" applyFont="1" applyNumberFormat="1">
      <alignment horizontal="center"/>
    </xf>
    <xf borderId="0" fillId="0" fontId="12" numFmtId="0" xfId="0" applyFont="1"/>
    <xf borderId="0" fillId="0" fontId="12" numFmtId="164" xfId="0" applyAlignment="1" applyFont="1" applyNumberFormat="1">
      <alignment horizontal="center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2" numFmtId="164" xfId="0" applyAlignment="1" applyFont="1" applyNumberFormat="1">
      <alignment horizontal="left"/>
    </xf>
    <xf borderId="0" fillId="0" fontId="12" numFmtId="2" xfId="0" applyAlignment="1" applyFont="1" applyNumberFormat="1">
      <alignment horizontal="left"/>
    </xf>
    <xf borderId="0" fillId="0" fontId="12" numFmtId="0" xfId="0" applyAlignment="1" applyFont="1">
      <alignment horizontal="left"/>
    </xf>
    <xf borderId="0" fillId="0" fontId="9" numFmtId="164" xfId="0" applyAlignment="1" applyFont="1" applyNumberFormat="1">
      <alignment horizontal="center"/>
    </xf>
    <xf borderId="0" fillId="0" fontId="9" numFmtId="2" xfId="0" applyAlignment="1" applyFont="1" applyNumberFormat="1">
      <alignment horizontal="center"/>
    </xf>
    <xf borderId="0" fillId="0" fontId="9" numFmtId="0" xfId="0" applyAlignment="1" applyFont="1">
      <alignment horizontal="left"/>
    </xf>
    <xf borderId="1" fillId="0" fontId="2" numFmtId="165" xfId="0" applyAlignment="1" applyBorder="1" applyFont="1" applyNumberFormat="1">
      <alignment horizontal="center"/>
    </xf>
    <xf borderId="7" fillId="3" fontId="14" numFmtId="0" xfId="0" applyAlignment="1" applyBorder="1" applyFill="1" applyFont="1">
      <alignment horizontal="center" vertical="center"/>
    </xf>
    <xf borderId="8" fillId="3" fontId="11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8" fillId="4" fontId="14" numFmtId="0" xfId="0" applyAlignment="1" applyBorder="1" applyFill="1" applyFont="1">
      <alignment horizontal="center" vertical="center"/>
    </xf>
    <xf borderId="12" fillId="5" fontId="14" numFmtId="0" xfId="0" applyAlignment="1" applyBorder="1" applyFill="1" applyFont="1">
      <alignment horizontal="center" vertical="center"/>
    </xf>
    <xf borderId="13" fillId="6" fontId="14" numFmtId="0" xfId="0" applyAlignment="1" applyBorder="1" applyFill="1" applyFont="1">
      <alignment horizontal="center" vertical="center"/>
    </xf>
    <xf borderId="14" fillId="0" fontId="6" numFmtId="0" xfId="0" applyBorder="1" applyFont="1"/>
    <xf borderId="15" fillId="7" fontId="14" numFmtId="0" xfId="0" applyAlignment="1" applyBorder="1" applyFill="1" applyFont="1">
      <alignment horizontal="center" vertical="center"/>
    </xf>
    <xf borderId="15" fillId="8" fontId="14" numFmtId="0" xfId="0" applyAlignment="1" applyBorder="1" applyFill="1" applyFont="1">
      <alignment horizontal="center" vertical="center"/>
    </xf>
    <xf borderId="15" fillId="6" fontId="14" numFmtId="0" xfId="0" applyAlignment="1" applyBorder="1" applyFont="1">
      <alignment horizontal="center" vertical="center"/>
    </xf>
    <xf borderId="16" fillId="0" fontId="6" numFmtId="0" xfId="0" applyBorder="1" applyFont="1"/>
    <xf borderId="17" fillId="6" fontId="14" numFmtId="0" xfId="0" applyAlignment="1" applyBorder="1" applyFont="1">
      <alignment horizontal="center" vertical="center"/>
    </xf>
    <xf borderId="18" fillId="0" fontId="6" numFmtId="0" xfId="0" applyBorder="1" applyFont="1"/>
    <xf borderId="19" fillId="6" fontId="14" numFmtId="0" xfId="0" applyAlignment="1" applyBorder="1" applyFont="1">
      <alignment horizontal="center" vertical="center"/>
    </xf>
    <xf borderId="20" fillId="6" fontId="14" numFmtId="0" xfId="0" applyAlignment="1" applyBorder="1" applyFont="1">
      <alignment horizontal="center" vertical="center"/>
    </xf>
    <xf borderId="20" fillId="7" fontId="14" numFmtId="0" xfId="0" applyAlignment="1" applyBorder="1" applyFont="1">
      <alignment horizontal="center" vertical="center"/>
    </xf>
    <xf borderId="20" fillId="8" fontId="14" numFmtId="0" xfId="0" applyAlignment="1" applyBorder="1" applyFont="1">
      <alignment horizontal="center" vertical="center"/>
    </xf>
    <xf borderId="21" fillId="6" fontId="14" numFmtId="0" xfId="0" applyAlignment="1" applyBorder="1" applyFont="1">
      <alignment horizontal="center" vertical="center"/>
    </xf>
    <xf borderId="22" fillId="9" fontId="14" numFmtId="0" xfId="0" applyAlignment="1" applyBorder="1" applyFill="1" applyFont="1">
      <alignment horizontal="center" vertical="center"/>
    </xf>
    <xf borderId="23" fillId="9" fontId="15" numFmtId="0" xfId="0" applyAlignment="1" applyBorder="1" applyFont="1">
      <alignment horizontal="center" vertical="center"/>
    </xf>
    <xf borderId="6" fillId="9" fontId="15" numFmtId="2" xfId="0" applyAlignment="1" applyBorder="1" applyFont="1" applyNumberFormat="1">
      <alignment horizontal="center" vertical="center"/>
    </xf>
    <xf borderId="24" fillId="9" fontId="15" numFmtId="2" xfId="0" applyAlignment="1" applyBorder="1" applyFont="1" applyNumberFormat="1">
      <alignment horizontal="center" vertical="center"/>
    </xf>
    <xf borderId="25" fillId="9" fontId="16" numFmtId="0" xfId="0" applyBorder="1" applyFont="1"/>
    <xf borderId="26" fillId="9" fontId="14" numFmtId="0" xfId="0" applyAlignment="1" applyBorder="1" applyFont="1">
      <alignment horizontal="center" vertical="center"/>
    </xf>
    <xf borderId="27" fillId="9" fontId="15" numFmtId="0" xfId="0" applyAlignment="1" applyBorder="1" applyFont="1">
      <alignment horizontal="center" vertical="center"/>
    </xf>
    <xf borderId="1" fillId="9" fontId="15" numFmtId="2" xfId="0" applyAlignment="1" applyBorder="1" applyFont="1" applyNumberFormat="1">
      <alignment horizontal="center" vertical="center"/>
    </xf>
    <xf borderId="28" fillId="0" fontId="6" numFmtId="0" xfId="0" applyBorder="1" applyFont="1"/>
    <xf borderId="29" fillId="9" fontId="14" numFmtId="0" xfId="0" applyAlignment="1" applyBorder="1" applyFont="1">
      <alignment horizontal="center" vertical="center"/>
    </xf>
    <xf borderId="30" fillId="9" fontId="15" numFmtId="0" xfId="0" applyAlignment="1" applyBorder="1" applyFont="1">
      <alignment horizontal="center" vertical="center"/>
    </xf>
    <xf borderId="2" fillId="9" fontId="15" numFmtId="2" xfId="0" applyAlignment="1" applyBorder="1" applyFont="1" applyNumberFormat="1">
      <alignment horizontal="center" vertical="center"/>
    </xf>
    <xf borderId="31" fillId="0" fontId="6" numFmtId="0" xfId="0" applyBorder="1" applyFont="1"/>
    <xf borderId="19" fillId="9" fontId="15" numFmtId="0" xfId="0" applyAlignment="1" applyBorder="1" applyFont="1">
      <alignment horizontal="center" vertical="center"/>
    </xf>
    <xf borderId="20" fillId="9" fontId="15" numFmtId="2" xfId="0" applyAlignment="1" applyBorder="1" applyFont="1" applyNumberFormat="1">
      <alignment horizontal="center" vertical="center"/>
    </xf>
    <xf borderId="32" fillId="0" fontId="6" numFmtId="0" xfId="0" applyBorder="1" applyFont="1"/>
    <xf borderId="22" fillId="10" fontId="14" numFmtId="0" xfId="0" applyAlignment="1" applyBorder="1" applyFill="1" applyFont="1">
      <alignment horizontal="center" vertical="center"/>
    </xf>
    <xf borderId="33" fillId="10" fontId="15" numFmtId="0" xfId="0" applyAlignment="1" applyBorder="1" applyFont="1">
      <alignment horizontal="center" vertical="center"/>
    </xf>
    <xf borderId="34" fillId="10" fontId="15" numFmtId="2" xfId="0" applyAlignment="1" applyBorder="1" applyFont="1" applyNumberFormat="1">
      <alignment horizontal="center" vertical="center"/>
    </xf>
    <xf borderId="35" fillId="10" fontId="15" numFmtId="2" xfId="0" applyAlignment="1" applyBorder="1" applyFont="1" applyNumberFormat="1">
      <alignment horizontal="center" vertical="center"/>
    </xf>
    <xf borderId="36" fillId="10" fontId="15" numFmtId="0" xfId="0" applyAlignment="1" applyBorder="1" applyFont="1">
      <alignment horizontal="center" vertical="center"/>
    </xf>
    <xf borderId="25" fillId="10" fontId="16" numFmtId="0" xfId="0" applyBorder="1" applyFont="1"/>
    <xf borderId="26" fillId="10" fontId="14" numFmtId="0" xfId="0" applyAlignment="1" applyBorder="1" applyFont="1">
      <alignment horizontal="center" vertical="center"/>
    </xf>
    <xf borderId="27" fillId="10" fontId="15" numFmtId="0" xfId="0" applyAlignment="1" applyBorder="1" applyFont="1">
      <alignment horizontal="center" vertical="center"/>
    </xf>
    <xf borderId="1" fillId="10" fontId="15" numFmtId="2" xfId="0" applyAlignment="1" applyBorder="1" applyFont="1" applyNumberFormat="1">
      <alignment horizontal="center" vertical="center"/>
    </xf>
    <xf borderId="37" fillId="10" fontId="15" numFmtId="0" xfId="0" applyAlignment="1" applyBorder="1" applyFont="1">
      <alignment horizontal="center" vertical="center"/>
    </xf>
    <xf borderId="29" fillId="10" fontId="14" numFmtId="0" xfId="0" applyAlignment="1" applyBorder="1" applyFont="1">
      <alignment horizontal="center" vertical="center"/>
    </xf>
    <xf borderId="19" fillId="10" fontId="15" numFmtId="0" xfId="0" applyAlignment="1" applyBorder="1" applyFont="1">
      <alignment horizontal="center" vertical="center"/>
    </xf>
    <xf borderId="20" fillId="10" fontId="15" numFmtId="2" xfId="0" applyAlignment="1" applyBorder="1" applyFont="1" applyNumberFormat="1">
      <alignment horizontal="center" vertical="center"/>
    </xf>
    <xf borderId="38" fillId="10" fontId="15" numFmtId="0" xfId="0" applyAlignment="1" applyBorder="1" applyFont="1">
      <alignment horizontal="center" vertical="center"/>
    </xf>
    <xf borderId="22" fillId="11" fontId="14" numFmtId="0" xfId="0" applyAlignment="1" applyBorder="1" applyFill="1" applyFont="1">
      <alignment horizontal="center" vertical="center"/>
    </xf>
    <xf borderId="33" fillId="11" fontId="15" numFmtId="0" xfId="0" applyAlignment="1" applyBorder="1" applyFont="1">
      <alignment horizontal="center" vertical="center"/>
    </xf>
    <xf borderId="34" fillId="11" fontId="15" numFmtId="2" xfId="0" applyAlignment="1" applyBorder="1" applyFont="1" applyNumberFormat="1">
      <alignment horizontal="center" vertical="center"/>
    </xf>
    <xf borderId="35" fillId="11" fontId="15" numFmtId="2" xfId="0" applyAlignment="1" applyBorder="1" applyFont="1" applyNumberFormat="1">
      <alignment horizontal="center" vertical="center"/>
    </xf>
    <xf borderId="36" fillId="11" fontId="15" numFmtId="0" xfId="0" applyAlignment="1" applyBorder="1" applyFont="1">
      <alignment horizontal="center" vertical="center"/>
    </xf>
    <xf borderId="25" fillId="11" fontId="16" numFmtId="0" xfId="0" applyBorder="1" applyFont="1"/>
    <xf borderId="26" fillId="11" fontId="14" numFmtId="0" xfId="0" applyAlignment="1" applyBorder="1" applyFont="1">
      <alignment horizontal="center" vertical="center"/>
    </xf>
    <xf borderId="27" fillId="11" fontId="15" numFmtId="0" xfId="0" applyAlignment="1" applyBorder="1" applyFont="1">
      <alignment horizontal="center" vertical="center"/>
    </xf>
    <xf borderId="1" fillId="11" fontId="15" numFmtId="2" xfId="0" applyAlignment="1" applyBorder="1" applyFont="1" applyNumberFormat="1">
      <alignment horizontal="center" vertical="center"/>
    </xf>
    <xf borderId="37" fillId="11" fontId="15" numFmtId="0" xfId="0" applyAlignment="1" applyBorder="1" applyFont="1">
      <alignment horizontal="center" vertical="center"/>
    </xf>
    <xf borderId="29" fillId="11" fontId="14" numFmtId="0" xfId="0" applyAlignment="1" applyBorder="1" applyFont="1">
      <alignment horizontal="center" vertical="center"/>
    </xf>
    <xf borderId="30" fillId="11" fontId="15" numFmtId="0" xfId="0" applyAlignment="1" applyBorder="1" applyFont="1">
      <alignment horizontal="center" vertical="center"/>
    </xf>
    <xf borderId="2" fillId="11" fontId="15" numFmtId="2" xfId="0" applyAlignment="1" applyBorder="1" applyFont="1" applyNumberFormat="1">
      <alignment horizontal="center" vertical="center"/>
    </xf>
    <xf borderId="39" fillId="11" fontId="15" numFmtId="0" xfId="0" applyAlignment="1" applyBorder="1" applyFont="1">
      <alignment horizontal="center" vertical="center"/>
    </xf>
    <xf borderId="40" fillId="3" fontId="14" numFmtId="0" xfId="0" applyAlignment="1" applyBorder="1" applyFont="1">
      <alignment horizontal="center" shrinkToFit="0" vertical="center" wrapText="1"/>
    </xf>
    <xf borderId="41" fillId="0" fontId="6" numFmtId="0" xfId="0" applyBorder="1" applyFont="1"/>
    <xf borderId="42" fillId="0" fontId="6" numFmtId="0" xfId="0" applyBorder="1" applyFont="1"/>
    <xf borderId="43" fillId="0" fontId="11" numFmtId="0" xfId="0" applyAlignment="1" applyBorder="1" applyFont="1">
      <alignment horizontal="center" shrinkToFit="0" vertical="center" wrapText="1"/>
    </xf>
    <xf borderId="43" fillId="0" fontId="6" numFmtId="0" xfId="0" applyBorder="1" applyFont="1"/>
    <xf borderId="44" fillId="0" fontId="6" numFmtId="0" xfId="0" applyBorder="1" applyFont="1"/>
    <xf borderId="13" fillId="6" fontId="14" numFmtId="0" xfId="0" applyAlignment="1" applyBorder="1" applyFont="1">
      <alignment horizontal="center" shrinkToFit="0" vertical="center" wrapText="1"/>
    </xf>
    <xf borderId="15" fillId="7" fontId="14" numFmtId="0" xfId="0" applyAlignment="1" applyBorder="1" applyFont="1">
      <alignment horizontal="center" shrinkToFit="0" vertical="center" wrapText="1"/>
    </xf>
    <xf borderId="15" fillId="8" fontId="14" numFmtId="0" xfId="0" applyAlignment="1" applyBorder="1" applyFont="1">
      <alignment horizontal="center" shrinkToFit="0" vertical="center" wrapText="1"/>
    </xf>
    <xf borderId="15" fillId="6" fontId="14" numFmtId="0" xfId="0" applyAlignment="1" applyBorder="1" applyFont="1">
      <alignment horizontal="center" shrinkToFit="0" vertical="center" wrapText="1"/>
    </xf>
    <xf borderId="22" fillId="4" fontId="14" numFmtId="0" xfId="0" applyAlignment="1" applyBorder="1" applyFont="1">
      <alignment horizontal="center" vertical="center"/>
    </xf>
    <xf borderId="23" fillId="4" fontId="15" numFmtId="0" xfId="0" applyAlignment="1" applyBorder="1" applyFont="1">
      <alignment horizontal="center" vertical="center"/>
    </xf>
    <xf borderId="6" fillId="4" fontId="15" numFmtId="166" xfId="0" applyAlignment="1" applyBorder="1" applyFont="1" applyNumberFormat="1">
      <alignment horizontal="center" vertical="center"/>
    </xf>
    <xf borderId="24" fillId="4" fontId="15" numFmtId="166" xfId="0" applyAlignment="1" applyBorder="1" applyFont="1" applyNumberFormat="1">
      <alignment horizontal="center" vertical="center"/>
    </xf>
    <xf borderId="23" fillId="4" fontId="15" numFmtId="1" xfId="0" applyAlignment="1" applyBorder="1" applyFont="1" applyNumberFormat="1">
      <alignment horizontal="center" vertical="center"/>
    </xf>
    <xf borderId="24" fillId="4" fontId="15" numFmtId="2" xfId="0" applyAlignment="1" applyBorder="1" applyFont="1" applyNumberFormat="1">
      <alignment horizontal="center" vertical="center"/>
    </xf>
    <xf borderId="25" fillId="4" fontId="16" numFmtId="0" xfId="0" applyBorder="1" applyFont="1"/>
    <xf borderId="26" fillId="4" fontId="14" numFmtId="0" xfId="0" applyAlignment="1" applyBorder="1" applyFont="1">
      <alignment horizontal="center" vertical="center"/>
    </xf>
    <xf borderId="27" fillId="4" fontId="15" numFmtId="0" xfId="0" applyAlignment="1" applyBorder="1" applyFont="1">
      <alignment horizontal="center" vertical="center"/>
    </xf>
    <xf borderId="1" fillId="4" fontId="15" numFmtId="166" xfId="0" applyAlignment="1" applyBorder="1" applyFont="1" applyNumberFormat="1">
      <alignment horizontal="center" vertical="center"/>
    </xf>
    <xf borderId="27" fillId="4" fontId="15" numFmtId="1" xfId="0" applyAlignment="1" applyBorder="1" applyFont="1" applyNumberFormat="1">
      <alignment horizontal="center" vertical="center"/>
    </xf>
    <xf borderId="29" fillId="4" fontId="14" numFmtId="0" xfId="0" applyAlignment="1" applyBorder="1" applyFont="1">
      <alignment horizontal="center" vertical="center"/>
    </xf>
    <xf borderId="30" fillId="4" fontId="15" numFmtId="0" xfId="0" applyAlignment="1" applyBorder="1" applyFont="1">
      <alignment horizontal="center" vertical="center"/>
    </xf>
    <xf borderId="2" fillId="4" fontId="15" numFmtId="166" xfId="0" applyAlignment="1" applyBorder="1" applyFont="1" applyNumberFormat="1">
      <alignment horizontal="center" vertical="center"/>
    </xf>
    <xf borderId="19" fillId="4" fontId="15" numFmtId="1" xfId="0" applyAlignment="1" applyBorder="1" applyFont="1" applyNumberFormat="1">
      <alignment horizontal="center" vertical="center"/>
    </xf>
    <xf borderId="20" fillId="4" fontId="15" numFmtId="166" xfId="0" applyAlignment="1" applyBorder="1" applyFont="1" applyNumberFormat="1">
      <alignment horizontal="center" vertical="center"/>
    </xf>
    <xf borderId="34" fillId="10" fontId="15" numFmtId="166" xfId="0" applyAlignment="1" applyBorder="1" applyFont="1" applyNumberFormat="1">
      <alignment horizontal="center" vertical="center"/>
    </xf>
    <xf borderId="35" fillId="10" fontId="15" numFmtId="166" xfId="0" applyAlignment="1" applyBorder="1" applyFont="1" applyNumberFormat="1">
      <alignment horizontal="center" vertical="center"/>
    </xf>
    <xf borderId="36" fillId="10" fontId="15" numFmtId="1" xfId="0" applyAlignment="1" applyBorder="1" applyFont="1" applyNumberFormat="1">
      <alignment horizontal="center" vertical="center"/>
    </xf>
    <xf borderId="1" fillId="10" fontId="15" numFmtId="166" xfId="0" applyAlignment="1" applyBorder="1" applyFont="1" applyNumberFormat="1">
      <alignment horizontal="center" vertical="center"/>
    </xf>
    <xf borderId="37" fillId="10" fontId="15" numFmtId="1" xfId="0" applyAlignment="1" applyBorder="1" applyFont="1" applyNumberFormat="1">
      <alignment horizontal="center" vertical="center"/>
    </xf>
    <xf borderId="20" fillId="10" fontId="15" numFmtId="166" xfId="0" applyAlignment="1" applyBorder="1" applyFont="1" applyNumberFormat="1">
      <alignment horizontal="center" vertical="center"/>
    </xf>
    <xf borderId="38" fillId="10" fontId="15" numFmtId="1" xfId="0" applyAlignment="1" applyBorder="1" applyFont="1" applyNumberFormat="1">
      <alignment horizontal="center" vertical="center"/>
    </xf>
    <xf borderId="34" fillId="11" fontId="15" numFmtId="166" xfId="0" applyAlignment="1" applyBorder="1" applyFont="1" applyNumberFormat="1">
      <alignment horizontal="center" vertical="center"/>
    </xf>
    <xf borderId="35" fillId="11" fontId="15" numFmtId="166" xfId="0" applyAlignment="1" applyBorder="1" applyFont="1" applyNumberFormat="1">
      <alignment horizontal="center" vertical="center"/>
    </xf>
    <xf borderId="36" fillId="11" fontId="15" numFmtId="1" xfId="0" applyAlignment="1" applyBorder="1" applyFont="1" applyNumberFormat="1">
      <alignment horizontal="center" vertical="center"/>
    </xf>
    <xf borderId="1" fillId="11" fontId="15" numFmtId="166" xfId="0" applyAlignment="1" applyBorder="1" applyFont="1" applyNumberFormat="1">
      <alignment horizontal="center" vertical="center"/>
    </xf>
    <xf borderId="37" fillId="11" fontId="15" numFmtId="1" xfId="0" applyAlignment="1" applyBorder="1" applyFont="1" applyNumberFormat="1">
      <alignment horizontal="center" vertical="center"/>
    </xf>
    <xf borderId="2" fillId="11" fontId="15" numFmtId="166" xfId="0" applyAlignment="1" applyBorder="1" applyFont="1" applyNumberFormat="1">
      <alignment horizontal="center" vertical="center"/>
    </xf>
    <xf borderId="39" fillId="11" fontId="15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600075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800100</xdr:colOff>
      <xdr:row>0</xdr:row>
      <xdr:rowOff>342900</xdr:rowOff>
    </xdr:from>
    <xdr:ext cx="609600" cy="714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723900</xdr:colOff>
      <xdr:row>0</xdr:row>
      <xdr:rowOff>133350</xdr:rowOff>
    </xdr:from>
    <xdr:ext cx="809625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2.86"/>
    <col customWidth="1" min="3" max="3" width="26.14"/>
    <col customWidth="1" min="4" max="4" width="9.71"/>
    <col customWidth="1" min="5" max="5" width="21.29"/>
    <col customWidth="1" min="6" max="26" width="8.86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/>
      <c r="B2" s="4" t="s">
        <v>0</v>
      </c>
      <c r="C2" s="5" t="s">
        <v>1</v>
      </c>
      <c r="D2" s="6" t="s">
        <v>2</v>
      </c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8" t="s">
        <v>3</v>
      </c>
      <c r="B4" s="9" t="s">
        <v>4</v>
      </c>
      <c r="C4" s="9" t="s">
        <v>5</v>
      </c>
      <c r="D4" s="10" t="s">
        <v>6</v>
      </c>
      <c r="E4" s="10" t="s">
        <v>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1">
        <v>1.0</v>
      </c>
      <c r="B5" s="12">
        <v>1575.0</v>
      </c>
      <c r="C5" s="13" t="s">
        <v>8</v>
      </c>
      <c r="D5" s="14" t="s">
        <v>9</v>
      </c>
      <c r="E5" s="15">
        <v>39818.0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11">
        <v>2.0</v>
      </c>
      <c r="B6" s="12">
        <v>1576.0</v>
      </c>
      <c r="C6" s="13" t="s">
        <v>8</v>
      </c>
      <c r="D6" s="14" t="s">
        <v>9</v>
      </c>
      <c r="E6" s="15">
        <v>39942.0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11">
        <v>3.0</v>
      </c>
      <c r="B7" s="12">
        <v>1577.0</v>
      </c>
      <c r="C7" s="13" t="s">
        <v>8</v>
      </c>
      <c r="D7" s="14" t="s">
        <v>9</v>
      </c>
      <c r="E7" s="15">
        <v>39475.0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0" customHeight="1">
      <c r="A8" s="11">
        <v>4.0</v>
      </c>
      <c r="B8" s="12">
        <v>1579.0</v>
      </c>
      <c r="C8" s="13" t="s">
        <v>8</v>
      </c>
      <c r="D8" s="14" t="s">
        <v>9</v>
      </c>
      <c r="E8" s="15">
        <v>39895.0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11">
        <v>5.0</v>
      </c>
      <c r="B9" s="12">
        <v>1581.0</v>
      </c>
      <c r="C9" s="13" t="s">
        <v>8</v>
      </c>
      <c r="D9" s="14" t="s">
        <v>9</v>
      </c>
      <c r="E9" s="15">
        <v>39880.0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11">
        <v>6.0</v>
      </c>
      <c r="B10" s="12">
        <v>1582.0</v>
      </c>
      <c r="C10" s="13" t="s">
        <v>8</v>
      </c>
      <c r="D10" s="14" t="s">
        <v>9</v>
      </c>
      <c r="E10" s="15">
        <v>39735.0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11">
        <v>7.0</v>
      </c>
      <c r="B11" s="12">
        <v>1584.0</v>
      </c>
      <c r="C11" s="13" t="s">
        <v>8</v>
      </c>
      <c r="D11" s="14" t="s">
        <v>9</v>
      </c>
      <c r="E11" s="15">
        <v>39767.0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11">
        <v>8.0</v>
      </c>
      <c r="B12" s="12">
        <v>1585.0</v>
      </c>
      <c r="C12" s="13" t="s">
        <v>8</v>
      </c>
      <c r="D12" s="14" t="s">
        <v>9</v>
      </c>
      <c r="E12" s="15">
        <v>39612.0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11">
        <v>9.0</v>
      </c>
      <c r="B13" s="12">
        <v>1586.0</v>
      </c>
      <c r="C13" s="13" t="s">
        <v>8</v>
      </c>
      <c r="D13" s="14" t="s">
        <v>9</v>
      </c>
      <c r="E13" s="15">
        <v>39930.0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11">
        <v>10.0</v>
      </c>
      <c r="B14" s="12">
        <v>1589.0</v>
      </c>
      <c r="C14" s="13" t="s">
        <v>10</v>
      </c>
      <c r="D14" s="14" t="s">
        <v>11</v>
      </c>
      <c r="E14" s="15">
        <v>39687.0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11">
        <v>11.0</v>
      </c>
      <c r="B15" s="12">
        <v>1713.0</v>
      </c>
      <c r="C15" s="13" t="s">
        <v>10</v>
      </c>
      <c r="D15" s="14" t="s">
        <v>11</v>
      </c>
      <c r="E15" s="15">
        <v>39234.0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11">
        <v>12.0</v>
      </c>
      <c r="B16" s="12">
        <v>1714.0</v>
      </c>
      <c r="C16" s="13" t="s">
        <v>10</v>
      </c>
      <c r="D16" s="14" t="s">
        <v>11</v>
      </c>
      <c r="E16" s="15">
        <v>38997.0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11">
        <v>13.0</v>
      </c>
      <c r="B17" s="12">
        <v>1716.0</v>
      </c>
      <c r="C17" s="13" t="s">
        <v>10</v>
      </c>
      <c r="D17" s="14" t="s">
        <v>11</v>
      </c>
      <c r="E17" s="15">
        <v>39553.0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11">
        <v>14.0</v>
      </c>
      <c r="B18" s="12">
        <v>1716.0</v>
      </c>
      <c r="C18" s="13" t="s">
        <v>10</v>
      </c>
      <c r="D18" s="14" t="s">
        <v>11</v>
      </c>
      <c r="E18" s="15">
        <v>39860.0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17">
        <v>15.0</v>
      </c>
      <c r="B19" s="12">
        <v>1716.0</v>
      </c>
      <c r="C19" s="13" t="s">
        <v>10</v>
      </c>
      <c r="D19" s="14" t="s">
        <v>11</v>
      </c>
      <c r="E19" s="15">
        <v>39861.0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17">
        <v>16.0</v>
      </c>
      <c r="B20" s="12">
        <v>1716.0</v>
      </c>
      <c r="C20" s="13" t="s">
        <v>10</v>
      </c>
      <c r="D20" s="14" t="s">
        <v>11</v>
      </c>
      <c r="E20" s="15">
        <v>39862.0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17">
        <v>17.0</v>
      </c>
      <c r="B21" s="12">
        <v>1718.0</v>
      </c>
      <c r="C21" s="13" t="s">
        <v>10</v>
      </c>
      <c r="D21" s="14" t="s">
        <v>11</v>
      </c>
      <c r="E21" s="15">
        <v>39863.0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8.0" hidden="1" customHeight="1">
      <c r="A22" s="17">
        <v>18.0</v>
      </c>
      <c r="B22" s="18"/>
      <c r="C22" s="18"/>
      <c r="D22" s="18"/>
      <c r="E22" s="15">
        <v>39864.0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8.0" hidden="1" customHeight="1">
      <c r="A23" s="17">
        <v>19.0</v>
      </c>
      <c r="B23" s="18"/>
      <c r="C23" s="18"/>
      <c r="D23" s="18"/>
      <c r="E23" s="15">
        <v>39865.0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8.0" hidden="1" customHeight="1">
      <c r="A24" s="17">
        <v>20.0</v>
      </c>
      <c r="B24" s="18"/>
      <c r="C24" s="18"/>
      <c r="D24" s="18"/>
      <c r="E24" s="15">
        <v>39866.0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8.0" hidden="1" customHeight="1">
      <c r="A25" s="17">
        <v>21.0</v>
      </c>
      <c r="B25" s="18"/>
      <c r="C25" s="18"/>
      <c r="D25" s="18"/>
      <c r="E25" s="15">
        <v>39867.0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8.0" hidden="1" customHeight="1">
      <c r="A26" s="17">
        <v>22.0</v>
      </c>
      <c r="B26" s="18"/>
      <c r="C26" s="18"/>
      <c r="D26" s="18"/>
      <c r="E26" s="15">
        <v>39868.0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8.0" hidden="1" customHeight="1">
      <c r="A27" s="17">
        <v>23.0</v>
      </c>
      <c r="B27" s="18"/>
      <c r="C27" s="18"/>
      <c r="D27" s="18"/>
      <c r="E27" s="15">
        <v>39869.0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8.0" hidden="1" customHeight="1">
      <c r="A28" s="17">
        <v>24.0</v>
      </c>
      <c r="B28" s="18"/>
      <c r="C28" s="18"/>
      <c r="D28" s="18"/>
      <c r="E28" s="15">
        <v>39870.0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8.0" hidden="1" customHeight="1">
      <c r="A29" s="17">
        <v>25.0</v>
      </c>
      <c r="B29" s="18"/>
      <c r="C29" s="18"/>
      <c r="D29" s="18"/>
      <c r="E29" s="15">
        <v>39871.0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8.0" hidden="1" customHeight="1">
      <c r="A30" s="17">
        <v>26.0</v>
      </c>
      <c r="B30" s="18"/>
      <c r="C30" s="18"/>
      <c r="D30" s="18"/>
      <c r="E30" s="15">
        <v>39872.0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8.0" hidden="1" customHeight="1">
      <c r="A31" s="17">
        <v>27.0</v>
      </c>
      <c r="B31" s="18"/>
      <c r="C31" s="18"/>
      <c r="D31" s="18"/>
      <c r="E31" s="15">
        <v>39873.0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8.0" hidden="1" customHeight="1">
      <c r="A32" s="17">
        <v>28.0</v>
      </c>
      <c r="B32" s="18"/>
      <c r="C32" s="18"/>
      <c r="D32" s="18"/>
      <c r="E32" s="15">
        <v>39874.0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8.0" hidden="1" customHeight="1">
      <c r="A33" s="17">
        <v>29.0</v>
      </c>
      <c r="B33" s="18"/>
      <c r="C33" s="18"/>
      <c r="D33" s="18"/>
      <c r="E33" s="15">
        <v>39875.0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8.0" hidden="1" customHeight="1">
      <c r="A34" s="17">
        <v>30.0</v>
      </c>
      <c r="B34" s="18"/>
      <c r="C34" s="18"/>
      <c r="D34" s="18"/>
      <c r="E34" s="15">
        <v>39876.0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8.0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008" footer="0.0" header="0.0" left="0.7" right="0.7" top="0.34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12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13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15">
        <v>45071.0</v>
      </c>
      <c r="F7" s="27">
        <f t="shared" ref="F7:F23" si="1">DATEDIF(D7,E7,"y")</f>
        <v>14</v>
      </c>
      <c r="G7" s="27">
        <f t="shared" ref="G7:G23" si="2">DATEDIF(D7,E7,"ym")</f>
        <v>4</v>
      </c>
      <c r="H7" s="27">
        <f t="shared" ref="H7:H23" si="3">DATEDIF(D7,E7,"md")</f>
        <v>20</v>
      </c>
      <c r="I7" s="27">
        <v>47.0</v>
      </c>
      <c r="J7" s="27">
        <v>159.0</v>
      </c>
      <c r="K7" s="28">
        <f t="shared" ref="K7:K23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15">
        <v>45071.0</v>
      </c>
      <c r="F8" s="27">
        <f t="shared" si="1"/>
        <v>14</v>
      </c>
      <c r="G8" s="27">
        <f t="shared" si="2"/>
        <v>0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15">
        <v>45071.0</v>
      </c>
      <c r="F9" s="27">
        <f t="shared" si="1"/>
        <v>15</v>
      </c>
      <c r="G9" s="27">
        <f t="shared" si="2"/>
        <v>3</v>
      </c>
      <c r="H9" s="27">
        <f t="shared" si="3"/>
        <v>27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15">
        <v>45071.0</v>
      </c>
      <c r="F10" s="27">
        <f t="shared" si="1"/>
        <v>14</v>
      </c>
      <c r="G10" s="27">
        <f t="shared" si="2"/>
        <v>2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15">
        <v>45071.0</v>
      </c>
      <c r="F11" s="27">
        <f t="shared" si="1"/>
        <v>14</v>
      </c>
      <c r="G11" s="27">
        <f t="shared" si="2"/>
        <v>2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15">
        <v>45071.0</v>
      </c>
      <c r="F12" s="27">
        <f t="shared" si="1"/>
        <v>14</v>
      </c>
      <c r="G12" s="27">
        <f t="shared" si="2"/>
        <v>7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15">
        <v>45066.0</v>
      </c>
      <c r="F13" s="27">
        <f t="shared" si="1"/>
        <v>14</v>
      </c>
      <c r="G13" s="27">
        <f t="shared" si="2"/>
        <v>6</v>
      </c>
      <c r="H13" s="27">
        <f t="shared" si="3"/>
        <v>5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15">
        <v>45066.0</v>
      </c>
      <c r="F14" s="27">
        <f t="shared" si="1"/>
        <v>14</v>
      </c>
      <c r="G14" s="27">
        <f t="shared" si="2"/>
        <v>11</v>
      </c>
      <c r="H14" s="27">
        <f t="shared" si="3"/>
        <v>7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15">
        <v>45066.0</v>
      </c>
      <c r="F15" s="27">
        <f t="shared" si="1"/>
        <v>14</v>
      </c>
      <c r="G15" s="27">
        <f t="shared" si="2"/>
        <v>0</v>
      </c>
      <c r="H15" s="27">
        <f t="shared" si="3"/>
        <v>23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15">
        <v>45066.0</v>
      </c>
      <c r="F16" s="27">
        <f t="shared" si="1"/>
        <v>14</v>
      </c>
      <c r="G16" s="27">
        <f t="shared" si="2"/>
        <v>8</v>
      </c>
      <c r="H16" s="27">
        <f t="shared" si="3"/>
        <v>23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15">
        <v>45066.0</v>
      </c>
      <c r="F17" s="27">
        <f t="shared" si="1"/>
        <v>15</v>
      </c>
      <c r="G17" s="27">
        <f t="shared" si="2"/>
        <v>11</v>
      </c>
      <c r="H17" s="27">
        <f t="shared" si="3"/>
        <v>19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15">
        <v>45071.0</v>
      </c>
      <c r="F18" s="27">
        <f t="shared" si="1"/>
        <v>16</v>
      </c>
      <c r="G18" s="27">
        <f t="shared" si="2"/>
        <v>7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15">
        <v>45071.0</v>
      </c>
      <c r="F19" s="27">
        <f t="shared" si="1"/>
        <v>15</v>
      </c>
      <c r="G19" s="27">
        <f t="shared" si="2"/>
        <v>1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15">
        <v>45071.0</v>
      </c>
      <c r="F20" s="27">
        <f t="shared" si="1"/>
        <v>14</v>
      </c>
      <c r="G20" s="27">
        <f t="shared" si="2"/>
        <v>3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15">
        <v>45071.0</v>
      </c>
      <c r="F21" s="27">
        <f t="shared" si="1"/>
        <v>14</v>
      </c>
      <c r="G21" s="27">
        <f t="shared" si="2"/>
        <v>3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15">
        <v>45071.0</v>
      </c>
      <c r="F22" s="27">
        <f t="shared" si="1"/>
        <v>14</v>
      </c>
      <c r="G22" s="27">
        <f t="shared" si="2"/>
        <v>3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15">
        <v>45071.0</v>
      </c>
      <c r="F23" s="27">
        <f t="shared" si="1"/>
        <v>14</v>
      </c>
      <c r="G23" s="27">
        <f t="shared" si="2"/>
        <v>3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/>
      <c r="G24" s="27"/>
      <c r="H24" s="27"/>
      <c r="I24" s="27"/>
      <c r="J24" s="27"/>
      <c r="K24" s="28"/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/>
      <c r="G25" s="27"/>
      <c r="H25" s="27"/>
      <c r="I25" s="27"/>
      <c r="J25" s="27"/>
      <c r="K25" s="28"/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/>
      <c r="G26" s="27"/>
      <c r="H26" s="27"/>
      <c r="I26" s="27"/>
      <c r="J26" s="27"/>
      <c r="K26" s="28"/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/>
      <c r="G27" s="27"/>
      <c r="H27" s="27"/>
      <c r="I27" s="27"/>
      <c r="J27" s="27"/>
      <c r="K27" s="28"/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/>
      <c r="G28" s="27"/>
      <c r="H28" s="27"/>
      <c r="I28" s="27"/>
      <c r="J28" s="27"/>
      <c r="K28" s="28"/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/>
      <c r="G29" s="27"/>
      <c r="H29" s="27"/>
      <c r="I29" s="27"/>
      <c r="J29" s="27"/>
      <c r="K29" s="28"/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/>
      <c r="G30" s="27"/>
      <c r="H30" s="27"/>
      <c r="I30" s="27"/>
      <c r="J30" s="27"/>
      <c r="K30" s="28"/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/>
      <c r="G31" s="27"/>
      <c r="H31" s="27"/>
      <c r="I31" s="27"/>
      <c r="J31" s="27"/>
      <c r="K31" s="28"/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/>
      <c r="G32" s="27"/>
      <c r="H32" s="27"/>
      <c r="I32" s="27"/>
      <c r="J32" s="27"/>
      <c r="K32" s="28"/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/>
      <c r="G33" s="27"/>
      <c r="H33" s="27"/>
      <c r="I33" s="27"/>
      <c r="J33" s="27"/>
      <c r="K33" s="28"/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/>
      <c r="G34" s="27"/>
      <c r="H34" s="27"/>
      <c r="I34" s="27"/>
      <c r="J34" s="27"/>
      <c r="K34" s="28"/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/>
      <c r="G35" s="27"/>
      <c r="H35" s="27"/>
      <c r="I35" s="27"/>
      <c r="J35" s="27"/>
      <c r="K35" s="28"/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/>
      <c r="G36" s="27"/>
      <c r="H36" s="27"/>
      <c r="I36" s="27"/>
      <c r="J36" s="27"/>
      <c r="K36" s="28"/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28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3" width="13.86"/>
    <col customWidth="1" min="14" max="26" width="8.86"/>
  </cols>
  <sheetData>
    <row r="1" ht="35.25" customHeight="1">
      <c r="A1" s="47"/>
      <c r="B1" s="48"/>
      <c r="C1" s="47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27.0" customHeight="1">
      <c r="A2" s="49" t="s">
        <v>48</v>
      </c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7.0" customHeight="1">
      <c r="A3" s="49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8.25" customHeight="1">
      <c r="A4" s="47"/>
      <c r="B4" s="48"/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27.0" customHeight="1">
      <c r="A5" s="50" t="s">
        <v>3</v>
      </c>
      <c r="B5" s="50" t="s">
        <v>14</v>
      </c>
      <c r="C5" s="50" t="s">
        <v>6</v>
      </c>
      <c r="D5" s="50" t="s">
        <v>15</v>
      </c>
      <c r="E5" s="50" t="s">
        <v>15</v>
      </c>
      <c r="F5" s="51" t="s">
        <v>16</v>
      </c>
      <c r="G5" s="23"/>
      <c r="H5" s="24"/>
      <c r="I5" s="50" t="s">
        <v>17</v>
      </c>
      <c r="J5" s="50" t="s">
        <v>18</v>
      </c>
      <c r="K5" s="50" t="s">
        <v>19</v>
      </c>
      <c r="L5" s="52" t="s">
        <v>20</v>
      </c>
      <c r="M5" s="24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27.0" customHeight="1">
      <c r="A6" s="53"/>
      <c r="B6" s="53"/>
      <c r="C6" s="53"/>
      <c r="D6" s="53" t="s">
        <v>21</v>
      </c>
      <c r="E6" s="53" t="s">
        <v>22</v>
      </c>
      <c r="F6" s="54" t="s">
        <v>23</v>
      </c>
      <c r="G6" s="54" t="s">
        <v>24</v>
      </c>
      <c r="H6" s="54" t="s">
        <v>25</v>
      </c>
      <c r="I6" s="53" t="s">
        <v>26</v>
      </c>
      <c r="J6" s="53" t="s">
        <v>27</v>
      </c>
      <c r="K6" s="53"/>
      <c r="L6" s="54" t="s">
        <v>17</v>
      </c>
      <c r="M6" s="54" t="s">
        <v>18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27.0" customHeight="1">
      <c r="A7" s="55">
        <v>1.0</v>
      </c>
      <c r="B7" s="56" t="str">
        <f>'ข้อมูล'!C5</f>
        <v>ด.ช. ห้องเรียน วิชาการ</v>
      </c>
      <c r="C7" s="55" t="str">
        <f>'ข้อมูล'!D5</f>
        <v>ชาย</v>
      </c>
      <c r="D7" s="57">
        <f>'ข้อมูล'!E5</f>
        <v>39818</v>
      </c>
      <c r="E7" s="57">
        <v>44701.0</v>
      </c>
      <c r="F7" s="55">
        <f t="shared" ref="F7:F36" si="1">DATEDIF(D7,E7,"y")</f>
        <v>13</v>
      </c>
      <c r="G7" s="55">
        <f t="shared" ref="G7:G36" si="2">DATEDIF(D7,E7,"ym")</f>
        <v>4</v>
      </c>
      <c r="H7" s="55">
        <f t="shared" ref="H7:H36" si="3">DATEDIF(D7,E7,"md")</f>
        <v>15</v>
      </c>
      <c r="I7" s="55">
        <v>48.0</v>
      </c>
      <c r="J7" s="55">
        <v>165.0</v>
      </c>
      <c r="K7" s="58">
        <f t="shared" ref="K7:K36" si="4">IF(B7="","",I7/((J7/100)^2))</f>
        <v>17.63085399</v>
      </c>
      <c r="L7" s="55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55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ค่อนข้างสูง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7.0" customHeight="1">
      <c r="A8" s="55">
        <v>2.0</v>
      </c>
      <c r="B8" s="56" t="str">
        <f>'ข้อมูล'!C6</f>
        <v>ด.ช. ห้องเรียน วิชาการ</v>
      </c>
      <c r="C8" s="55" t="str">
        <f>'ข้อมูล'!D6</f>
        <v>ชาย</v>
      </c>
      <c r="D8" s="57">
        <f>'ข้อมูล'!E6</f>
        <v>39942</v>
      </c>
      <c r="E8" s="57">
        <v>44701.0</v>
      </c>
      <c r="F8" s="55">
        <f t="shared" si="1"/>
        <v>13</v>
      </c>
      <c r="G8" s="55">
        <f t="shared" si="2"/>
        <v>0</v>
      </c>
      <c r="H8" s="55">
        <f t="shared" si="3"/>
        <v>11</v>
      </c>
      <c r="I8" s="55">
        <v>40.0</v>
      </c>
      <c r="J8" s="55">
        <v>159.0</v>
      </c>
      <c r="K8" s="58">
        <f t="shared" si="4"/>
        <v>15.82215893</v>
      </c>
      <c r="L8" s="55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55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27.0" customHeight="1">
      <c r="A9" s="55">
        <v>3.0</v>
      </c>
      <c r="B9" s="56" t="str">
        <f>'ข้อมูล'!C7</f>
        <v>ด.ช. ห้องเรียน วิชาการ</v>
      </c>
      <c r="C9" s="55" t="str">
        <f>'ข้อมูล'!D7</f>
        <v>ชาย</v>
      </c>
      <c r="D9" s="57">
        <f>'ข้อมูล'!E7</f>
        <v>39475</v>
      </c>
      <c r="E9" s="57">
        <v>44701.0</v>
      </c>
      <c r="F9" s="55">
        <f t="shared" si="1"/>
        <v>14</v>
      </c>
      <c r="G9" s="55">
        <f t="shared" si="2"/>
        <v>3</v>
      </c>
      <c r="H9" s="55">
        <f t="shared" si="3"/>
        <v>22</v>
      </c>
      <c r="I9" s="55">
        <v>56.0</v>
      </c>
      <c r="J9" s="55">
        <v>167.0</v>
      </c>
      <c r="K9" s="58">
        <f t="shared" si="4"/>
        <v>20.07960128</v>
      </c>
      <c r="L9" s="55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55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27.0" customHeight="1">
      <c r="A10" s="55">
        <v>4.0</v>
      </c>
      <c r="B10" s="56" t="str">
        <f>'ข้อมูล'!C8</f>
        <v>ด.ช. ห้องเรียน วิชาการ</v>
      </c>
      <c r="C10" s="55" t="str">
        <f>'ข้อมูล'!D8</f>
        <v>ชาย</v>
      </c>
      <c r="D10" s="57">
        <f>'ข้อมูล'!E8</f>
        <v>39895</v>
      </c>
      <c r="E10" s="57">
        <v>44701.0</v>
      </c>
      <c r="F10" s="55">
        <f t="shared" si="1"/>
        <v>13</v>
      </c>
      <c r="G10" s="55">
        <f t="shared" si="2"/>
        <v>1</v>
      </c>
      <c r="H10" s="55">
        <f t="shared" si="3"/>
        <v>27</v>
      </c>
      <c r="I10" s="55">
        <v>52.0</v>
      </c>
      <c r="J10" s="55">
        <v>169.0</v>
      </c>
      <c r="K10" s="58">
        <f t="shared" si="4"/>
        <v>18.20664543</v>
      </c>
      <c r="L10" s="55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55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สูง</v>
      </c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27.0" customHeight="1">
      <c r="A11" s="55">
        <v>5.0</v>
      </c>
      <c r="B11" s="56" t="str">
        <f>'ข้อมูล'!C9</f>
        <v>ด.ช. ห้องเรียน วิชาการ</v>
      </c>
      <c r="C11" s="55" t="str">
        <f>'ข้อมูล'!D9</f>
        <v>ชาย</v>
      </c>
      <c r="D11" s="57">
        <f>'ข้อมูล'!E9</f>
        <v>39880</v>
      </c>
      <c r="E11" s="57">
        <v>44701.0</v>
      </c>
      <c r="F11" s="55">
        <f t="shared" si="1"/>
        <v>13</v>
      </c>
      <c r="G11" s="55">
        <f t="shared" si="2"/>
        <v>2</v>
      </c>
      <c r="H11" s="55">
        <f t="shared" si="3"/>
        <v>12</v>
      </c>
      <c r="I11" s="55">
        <v>84.0</v>
      </c>
      <c r="J11" s="55">
        <v>155.0</v>
      </c>
      <c r="K11" s="58">
        <f t="shared" si="4"/>
        <v>34.9635796</v>
      </c>
      <c r="L11" s="55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อ้วน</v>
      </c>
      <c r="M11" s="55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27.0" customHeight="1">
      <c r="A12" s="55">
        <v>6.0</v>
      </c>
      <c r="B12" s="56" t="str">
        <f>'ข้อมูล'!C10</f>
        <v>ด.ช. ห้องเรียน วิชาการ</v>
      </c>
      <c r="C12" s="55" t="str">
        <f>'ข้อมูล'!D10</f>
        <v>ชาย</v>
      </c>
      <c r="D12" s="57">
        <f>'ข้อมูล'!E10</f>
        <v>39735</v>
      </c>
      <c r="E12" s="57">
        <v>44701.0</v>
      </c>
      <c r="F12" s="55">
        <f t="shared" si="1"/>
        <v>13</v>
      </c>
      <c r="G12" s="55">
        <f t="shared" si="2"/>
        <v>7</v>
      </c>
      <c r="H12" s="55">
        <f t="shared" si="3"/>
        <v>6</v>
      </c>
      <c r="I12" s="55">
        <v>70.0</v>
      </c>
      <c r="J12" s="55">
        <v>167.0</v>
      </c>
      <c r="K12" s="58">
        <f t="shared" si="4"/>
        <v>25.0995016</v>
      </c>
      <c r="L12" s="55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ท้วม</v>
      </c>
      <c r="M12" s="55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ค่อนข้างสูง</v>
      </c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27.0" customHeight="1">
      <c r="A13" s="55">
        <v>7.0</v>
      </c>
      <c r="B13" s="56" t="str">
        <f>'ข้อมูล'!C11</f>
        <v>ด.ช. ห้องเรียน วิชาการ</v>
      </c>
      <c r="C13" s="55" t="str">
        <f>'ข้อมูล'!D11</f>
        <v>ชาย</v>
      </c>
      <c r="D13" s="57">
        <f>'ข้อมูล'!E11</f>
        <v>39767</v>
      </c>
      <c r="E13" s="57">
        <v>44701.0</v>
      </c>
      <c r="F13" s="55">
        <f t="shared" si="1"/>
        <v>13</v>
      </c>
      <c r="G13" s="55">
        <f t="shared" si="2"/>
        <v>6</v>
      </c>
      <c r="H13" s="55">
        <f t="shared" si="3"/>
        <v>5</v>
      </c>
      <c r="I13" s="55"/>
      <c r="J13" s="55"/>
      <c r="K13" s="58" t="str">
        <f t="shared" si="4"/>
        <v>#DIV/0!</v>
      </c>
      <c r="L13" s="55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#DIV/0!</v>
      </c>
      <c r="M13" s="55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เตี้ย</v>
      </c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27.0" customHeight="1">
      <c r="A14" s="55">
        <v>8.0</v>
      </c>
      <c r="B14" s="56" t="str">
        <f>'ข้อมูล'!C12</f>
        <v>ด.ช. ห้องเรียน วิชาการ</v>
      </c>
      <c r="C14" s="55" t="str">
        <f>'ข้อมูล'!D12</f>
        <v>ชาย</v>
      </c>
      <c r="D14" s="57">
        <f>'ข้อมูล'!E12</f>
        <v>39612</v>
      </c>
      <c r="E14" s="57">
        <v>44701.0</v>
      </c>
      <c r="F14" s="55">
        <f t="shared" si="1"/>
        <v>13</v>
      </c>
      <c r="G14" s="55">
        <f t="shared" si="2"/>
        <v>11</v>
      </c>
      <c r="H14" s="55">
        <f t="shared" si="3"/>
        <v>7</v>
      </c>
      <c r="I14" s="55"/>
      <c r="J14" s="55"/>
      <c r="K14" s="58" t="str">
        <f t="shared" si="4"/>
        <v>#DIV/0!</v>
      </c>
      <c r="L14" s="55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#DIV/0!</v>
      </c>
      <c r="M14" s="55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เตี้ย</v>
      </c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27.0" customHeight="1">
      <c r="A15" s="55">
        <v>9.0</v>
      </c>
      <c r="B15" s="56" t="str">
        <f>'ข้อมูล'!C13</f>
        <v>ด.ช. ห้องเรียน วิชาการ</v>
      </c>
      <c r="C15" s="55" t="str">
        <f>'ข้อมูล'!D13</f>
        <v>ชาย</v>
      </c>
      <c r="D15" s="57">
        <f>'ข้อมูล'!E13</f>
        <v>39930</v>
      </c>
      <c r="E15" s="57">
        <v>44701.0</v>
      </c>
      <c r="F15" s="55">
        <f t="shared" si="1"/>
        <v>13</v>
      </c>
      <c r="G15" s="55">
        <f t="shared" si="2"/>
        <v>0</v>
      </c>
      <c r="H15" s="55">
        <f t="shared" si="3"/>
        <v>23</v>
      </c>
      <c r="I15" s="55"/>
      <c r="J15" s="55"/>
      <c r="K15" s="58" t="str">
        <f t="shared" si="4"/>
        <v>#DIV/0!</v>
      </c>
      <c r="L15" s="55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#DIV/0!</v>
      </c>
      <c r="M15" s="55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เตี้ย</v>
      </c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27.0" customHeight="1">
      <c r="A16" s="55">
        <v>10.0</v>
      </c>
      <c r="B16" s="56" t="str">
        <f>'ข้อมูล'!C14</f>
        <v>ด.ญ.ห้องเรียน วิชาการ</v>
      </c>
      <c r="C16" s="55" t="str">
        <f>'ข้อมูล'!D14</f>
        <v>หญิง</v>
      </c>
      <c r="D16" s="57">
        <f>'ข้อมูล'!E14</f>
        <v>39687</v>
      </c>
      <c r="E16" s="57">
        <v>44701.0</v>
      </c>
      <c r="F16" s="55">
        <f t="shared" si="1"/>
        <v>13</v>
      </c>
      <c r="G16" s="55">
        <f t="shared" si="2"/>
        <v>8</v>
      </c>
      <c r="H16" s="55">
        <f t="shared" si="3"/>
        <v>23</v>
      </c>
      <c r="I16" s="55"/>
      <c r="J16" s="55"/>
      <c r="K16" s="58" t="str">
        <f t="shared" si="4"/>
        <v>#DIV/0!</v>
      </c>
      <c r="L16" s="55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#DIV/0!</v>
      </c>
      <c r="M16" s="55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เตี้ย</v>
      </c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27.0" customHeight="1">
      <c r="A17" s="55">
        <v>11.0</v>
      </c>
      <c r="B17" s="56" t="str">
        <f>'ข้อมูล'!C15</f>
        <v>ด.ญ.ห้องเรียน วิชาการ</v>
      </c>
      <c r="C17" s="55" t="str">
        <f>'ข้อมูล'!D15</f>
        <v>หญิง</v>
      </c>
      <c r="D17" s="57">
        <f>'ข้อมูล'!E15</f>
        <v>39234</v>
      </c>
      <c r="E17" s="57">
        <v>44701.0</v>
      </c>
      <c r="F17" s="55">
        <f t="shared" si="1"/>
        <v>14</v>
      </c>
      <c r="G17" s="55">
        <f t="shared" si="2"/>
        <v>11</v>
      </c>
      <c r="H17" s="55">
        <f t="shared" si="3"/>
        <v>19</v>
      </c>
      <c r="I17" s="55"/>
      <c r="J17" s="55"/>
      <c r="K17" s="58" t="str">
        <f t="shared" si="4"/>
        <v>#DIV/0!</v>
      </c>
      <c r="L17" s="55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#DIV/0!</v>
      </c>
      <c r="M17" s="55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เตี้ย</v>
      </c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27.0" hidden="1" customHeight="1">
      <c r="A18" s="55">
        <v>12.0</v>
      </c>
      <c r="B18" s="56" t="str">
        <f>'ข้อมูล'!C16</f>
        <v>ด.ญ.ห้องเรียน วิชาการ</v>
      </c>
      <c r="C18" s="55" t="str">
        <f>'ข้อมูล'!D16</f>
        <v>หญิง</v>
      </c>
      <c r="D18" s="57">
        <f>'ข้อมูล'!E16</f>
        <v>38997</v>
      </c>
      <c r="E18" s="57">
        <v>44698.0</v>
      </c>
      <c r="F18" s="55">
        <f t="shared" si="1"/>
        <v>15</v>
      </c>
      <c r="G18" s="55">
        <f t="shared" si="2"/>
        <v>7</v>
      </c>
      <c r="H18" s="55">
        <f t="shared" si="3"/>
        <v>10</v>
      </c>
      <c r="I18" s="55"/>
      <c r="J18" s="55"/>
      <c r="K18" s="58" t="str">
        <f t="shared" si="4"/>
        <v>#DIV/0!</v>
      </c>
      <c r="L18" s="55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#DIV/0!</v>
      </c>
      <c r="M18" s="55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เตี้ย</v>
      </c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27.0" hidden="1" customHeight="1">
      <c r="A19" s="55">
        <v>13.0</v>
      </c>
      <c r="B19" s="56" t="str">
        <f>'ข้อมูล'!C17</f>
        <v>ด.ญ.ห้องเรียน วิชาการ</v>
      </c>
      <c r="C19" s="55" t="str">
        <f>'ข้อมูล'!D17</f>
        <v>หญิง</v>
      </c>
      <c r="D19" s="57">
        <f>'ข้อมูล'!E17</f>
        <v>39553</v>
      </c>
      <c r="E19" s="57">
        <v>44698.0</v>
      </c>
      <c r="F19" s="55">
        <f t="shared" si="1"/>
        <v>14</v>
      </c>
      <c r="G19" s="55">
        <f t="shared" si="2"/>
        <v>1</v>
      </c>
      <c r="H19" s="55">
        <f t="shared" si="3"/>
        <v>2</v>
      </c>
      <c r="I19" s="55"/>
      <c r="J19" s="55"/>
      <c r="K19" s="58" t="str">
        <f t="shared" si="4"/>
        <v>#DIV/0!</v>
      </c>
      <c r="L19" s="55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#DIV/0!</v>
      </c>
      <c r="M19" s="55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เตี้ย</v>
      </c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27.0" hidden="1" customHeight="1">
      <c r="A20" s="55">
        <v>14.0</v>
      </c>
      <c r="B20" s="56" t="str">
        <f>'ข้อมูล'!C18</f>
        <v>ด.ญ.ห้องเรียน วิชาการ</v>
      </c>
      <c r="C20" s="55" t="str">
        <f>'ข้อมูล'!D18</f>
        <v>หญิง</v>
      </c>
      <c r="D20" s="57">
        <f>'ข้อมูล'!E18</f>
        <v>39860</v>
      </c>
      <c r="E20" s="57">
        <v>44698.0</v>
      </c>
      <c r="F20" s="55">
        <f t="shared" si="1"/>
        <v>13</v>
      </c>
      <c r="G20" s="55">
        <f t="shared" si="2"/>
        <v>3</v>
      </c>
      <c r="H20" s="55">
        <f t="shared" si="3"/>
        <v>1</v>
      </c>
      <c r="I20" s="55"/>
      <c r="J20" s="55"/>
      <c r="K20" s="58" t="str">
        <f t="shared" si="4"/>
        <v>#DIV/0!</v>
      </c>
      <c r="L20" s="55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#DIV/0!</v>
      </c>
      <c r="M20" s="55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เตี้ย</v>
      </c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27.0" hidden="1" customHeight="1">
      <c r="A21" s="55">
        <v>15.0</v>
      </c>
      <c r="B21" s="56" t="str">
        <f>'ข้อมูล'!C19</f>
        <v>ด.ญ.ห้องเรียน วิชาการ</v>
      </c>
      <c r="C21" s="55" t="str">
        <f>'ข้อมูล'!D19</f>
        <v>หญิง</v>
      </c>
      <c r="D21" s="57">
        <f>'ข้อมูล'!E19</f>
        <v>39861</v>
      </c>
      <c r="E21" s="57">
        <v>44698.0</v>
      </c>
      <c r="F21" s="55">
        <f t="shared" si="1"/>
        <v>13</v>
      </c>
      <c r="G21" s="55">
        <f t="shared" si="2"/>
        <v>3</v>
      </c>
      <c r="H21" s="55">
        <f t="shared" si="3"/>
        <v>0</v>
      </c>
      <c r="I21" s="55"/>
      <c r="J21" s="55"/>
      <c r="K21" s="58" t="str">
        <f t="shared" si="4"/>
        <v>#DIV/0!</v>
      </c>
      <c r="L21" s="55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#DIV/0!</v>
      </c>
      <c r="M21" s="55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เตี้ย</v>
      </c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27.0" hidden="1" customHeight="1">
      <c r="A22" s="55">
        <v>16.0</v>
      </c>
      <c r="B22" s="56" t="str">
        <f>'ข้อมูล'!C20</f>
        <v>ด.ญ.ห้องเรียน วิชาการ</v>
      </c>
      <c r="C22" s="55" t="str">
        <f>'ข้อมูล'!D20</f>
        <v>หญิง</v>
      </c>
      <c r="D22" s="57">
        <f>'ข้อมูล'!E20</f>
        <v>39862</v>
      </c>
      <c r="E22" s="57">
        <v>44698.0</v>
      </c>
      <c r="F22" s="55">
        <f t="shared" si="1"/>
        <v>13</v>
      </c>
      <c r="G22" s="55">
        <f t="shared" si="2"/>
        <v>2</v>
      </c>
      <c r="H22" s="55">
        <f t="shared" si="3"/>
        <v>29</v>
      </c>
      <c r="I22" s="55"/>
      <c r="J22" s="55"/>
      <c r="K22" s="58" t="str">
        <f t="shared" si="4"/>
        <v>#DIV/0!</v>
      </c>
      <c r="L22" s="55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#DIV/0!</v>
      </c>
      <c r="M22" s="55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เตี้ย</v>
      </c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27.0" hidden="1" customHeight="1">
      <c r="A23" s="55">
        <v>17.0</v>
      </c>
      <c r="B23" s="56" t="str">
        <f>'ข้อมูล'!C21</f>
        <v>ด.ญ.ห้องเรียน วิชาการ</v>
      </c>
      <c r="C23" s="55" t="str">
        <f>'ข้อมูล'!D21</f>
        <v>หญิง</v>
      </c>
      <c r="D23" s="57">
        <f>'ข้อมูล'!E21</f>
        <v>39863</v>
      </c>
      <c r="E23" s="57">
        <v>44698.0</v>
      </c>
      <c r="F23" s="55">
        <f t="shared" si="1"/>
        <v>13</v>
      </c>
      <c r="G23" s="55">
        <f t="shared" si="2"/>
        <v>2</v>
      </c>
      <c r="H23" s="55">
        <f t="shared" si="3"/>
        <v>28</v>
      </c>
      <c r="I23" s="55"/>
      <c r="J23" s="55"/>
      <c r="K23" s="58" t="str">
        <f t="shared" si="4"/>
        <v>#DIV/0!</v>
      </c>
      <c r="L23" s="55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#DIV/0!</v>
      </c>
      <c r="M23" s="55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เตี้ย</v>
      </c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27.0" hidden="1" customHeight="1">
      <c r="A24" s="55">
        <v>18.0</v>
      </c>
      <c r="B24" s="56" t="str">
        <f>'ข้อมูล'!C22</f>
        <v/>
      </c>
      <c r="C24" s="55" t="str">
        <f>'ข้อมูล'!D22</f>
        <v/>
      </c>
      <c r="D24" s="57">
        <f>'ข้อมูล'!E22</f>
        <v>39864</v>
      </c>
      <c r="E24" s="57">
        <v>44698.0</v>
      </c>
      <c r="F24" s="55">
        <f t="shared" si="1"/>
        <v>13</v>
      </c>
      <c r="G24" s="55">
        <f t="shared" si="2"/>
        <v>2</v>
      </c>
      <c r="H24" s="55">
        <f t="shared" si="3"/>
        <v>27</v>
      </c>
      <c r="I24" s="55"/>
      <c r="J24" s="55"/>
      <c r="K24" s="58" t="str">
        <f t="shared" si="4"/>
        <v/>
      </c>
      <c r="L24" s="55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55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27.0" hidden="1" customHeight="1">
      <c r="A25" s="55">
        <v>19.0</v>
      </c>
      <c r="B25" s="56" t="str">
        <f>'ข้อมูล'!C23</f>
        <v/>
      </c>
      <c r="C25" s="55" t="str">
        <f>'ข้อมูล'!D23</f>
        <v/>
      </c>
      <c r="D25" s="57">
        <f>'ข้อมูล'!E23</f>
        <v>39865</v>
      </c>
      <c r="E25" s="57">
        <v>44698.0</v>
      </c>
      <c r="F25" s="55">
        <f t="shared" si="1"/>
        <v>13</v>
      </c>
      <c r="G25" s="55">
        <f t="shared" si="2"/>
        <v>2</v>
      </c>
      <c r="H25" s="55">
        <f t="shared" si="3"/>
        <v>26</v>
      </c>
      <c r="I25" s="55"/>
      <c r="J25" s="55"/>
      <c r="K25" s="58" t="str">
        <f t="shared" si="4"/>
        <v/>
      </c>
      <c r="L25" s="55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55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27.0" hidden="1" customHeight="1">
      <c r="A26" s="55">
        <v>20.0</v>
      </c>
      <c r="B26" s="56" t="str">
        <f>'ข้อมูล'!C24</f>
        <v/>
      </c>
      <c r="C26" s="55" t="str">
        <f>'ข้อมูล'!D24</f>
        <v/>
      </c>
      <c r="D26" s="57">
        <f>'ข้อมูล'!E24</f>
        <v>39866</v>
      </c>
      <c r="E26" s="57">
        <v>44698.0</v>
      </c>
      <c r="F26" s="55">
        <f t="shared" si="1"/>
        <v>13</v>
      </c>
      <c r="G26" s="55">
        <f t="shared" si="2"/>
        <v>2</v>
      </c>
      <c r="H26" s="55">
        <f t="shared" si="3"/>
        <v>25</v>
      </c>
      <c r="I26" s="55"/>
      <c r="J26" s="55"/>
      <c r="K26" s="58" t="str">
        <f t="shared" si="4"/>
        <v/>
      </c>
      <c r="L26" s="55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55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27.0" hidden="1" customHeight="1">
      <c r="A27" s="55">
        <v>21.0</v>
      </c>
      <c r="B27" s="56" t="str">
        <f>'ข้อมูล'!C25</f>
        <v/>
      </c>
      <c r="C27" s="55" t="str">
        <f>'ข้อมูล'!D25</f>
        <v/>
      </c>
      <c r="D27" s="57">
        <f>'ข้อมูล'!E25</f>
        <v>39867</v>
      </c>
      <c r="E27" s="57">
        <v>44698.0</v>
      </c>
      <c r="F27" s="55">
        <f t="shared" si="1"/>
        <v>13</v>
      </c>
      <c r="G27" s="55">
        <f t="shared" si="2"/>
        <v>2</v>
      </c>
      <c r="H27" s="55">
        <f t="shared" si="3"/>
        <v>24</v>
      </c>
      <c r="I27" s="55"/>
      <c r="J27" s="55"/>
      <c r="K27" s="58" t="str">
        <f t="shared" si="4"/>
        <v/>
      </c>
      <c r="L27" s="55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55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27.0" hidden="1" customHeight="1">
      <c r="A28" s="55">
        <v>22.0</v>
      </c>
      <c r="B28" s="56" t="str">
        <f>'ข้อมูล'!C26</f>
        <v/>
      </c>
      <c r="C28" s="55" t="str">
        <f>'ข้อมูล'!D26</f>
        <v/>
      </c>
      <c r="D28" s="57">
        <f>'ข้อมูล'!E26</f>
        <v>39868</v>
      </c>
      <c r="E28" s="57">
        <v>44698.0</v>
      </c>
      <c r="F28" s="55">
        <f t="shared" si="1"/>
        <v>13</v>
      </c>
      <c r="G28" s="55">
        <f t="shared" si="2"/>
        <v>2</v>
      </c>
      <c r="H28" s="55">
        <f t="shared" si="3"/>
        <v>23</v>
      </c>
      <c r="I28" s="55"/>
      <c r="J28" s="55"/>
      <c r="K28" s="58" t="str">
        <f t="shared" si="4"/>
        <v/>
      </c>
      <c r="L28" s="55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55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27.0" hidden="1" customHeight="1">
      <c r="A29" s="55">
        <v>23.0</v>
      </c>
      <c r="B29" s="56" t="str">
        <f>'ข้อมูล'!C27</f>
        <v/>
      </c>
      <c r="C29" s="55" t="str">
        <f>'ข้อมูล'!D27</f>
        <v/>
      </c>
      <c r="D29" s="57">
        <f>'ข้อมูล'!E27</f>
        <v>39869</v>
      </c>
      <c r="E29" s="57">
        <v>44698.0</v>
      </c>
      <c r="F29" s="55">
        <f t="shared" si="1"/>
        <v>13</v>
      </c>
      <c r="G29" s="55">
        <f t="shared" si="2"/>
        <v>2</v>
      </c>
      <c r="H29" s="55">
        <f t="shared" si="3"/>
        <v>22</v>
      </c>
      <c r="I29" s="55"/>
      <c r="J29" s="55"/>
      <c r="K29" s="58" t="str">
        <f t="shared" si="4"/>
        <v/>
      </c>
      <c r="L29" s="55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55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27.0" hidden="1" customHeight="1">
      <c r="A30" s="55">
        <v>24.0</v>
      </c>
      <c r="B30" s="56" t="str">
        <f>'ข้อมูล'!C28</f>
        <v/>
      </c>
      <c r="C30" s="55" t="str">
        <f>'ข้อมูล'!D28</f>
        <v/>
      </c>
      <c r="D30" s="57">
        <f>'ข้อมูล'!E28</f>
        <v>39870</v>
      </c>
      <c r="E30" s="57">
        <v>44698.0</v>
      </c>
      <c r="F30" s="55">
        <f t="shared" si="1"/>
        <v>13</v>
      </c>
      <c r="G30" s="55">
        <f t="shared" si="2"/>
        <v>2</v>
      </c>
      <c r="H30" s="55">
        <f t="shared" si="3"/>
        <v>21</v>
      </c>
      <c r="I30" s="55"/>
      <c r="J30" s="55"/>
      <c r="K30" s="58" t="str">
        <f t="shared" si="4"/>
        <v/>
      </c>
      <c r="L30" s="55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55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27.0" hidden="1" customHeight="1">
      <c r="A31" s="55">
        <v>25.0</v>
      </c>
      <c r="B31" s="56" t="str">
        <f>'ข้อมูล'!C29</f>
        <v/>
      </c>
      <c r="C31" s="55" t="str">
        <f>'ข้อมูล'!D29</f>
        <v/>
      </c>
      <c r="D31" s="57">
        <f>'ข้อมูล'!E29</f>
        <v>39871</v>
      </c>
      <c r="E31" s="57">
        <v>44698.0</v>
      </c>
      <c r="F31" s="55">
        <f t="shared" si="1"/>
        <v>13</v>
      </c>
      <c r="G31" s="55">
        <f t="shared" si="2"/>
        <v>2</v>
      </c>
      <c r="H31" s="55">
        <f t="shared" si="3"/>
        <v>20</v>
      </c>
      <c r="I31" s="55"/>
      <c r="J31" s="55"/>
      <c r="K31" s="58" t="str">
        <f t="shared" si="4"/>
        <v/>
      </c>
      <c r="L31" s="55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55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27.0" hidden="1" customHeight="1">
      <c r="A32" s="55">
        <v>26.0</v>
      </c>
      <c r="B32" s="56" t="str">
        <f>'ข้อมูล'!C30</f>
        <v/>
      </c>
      <c r="C32" s="55" t="str">
        <f>'ข้อมูล'!D30</f>
        <v/>
      </c>
      <c r="D32" s="57">
        <f>'ข้อมูล'!E30</f>
        <v>39872</v>
      </c>
      <c r="E32" s="57">
        <v>44698.0</v>
      </c>
      <c r="F32" s="55">
        <f t="shared" si="1"/>
        <v>13</v>
      </c>
      <c r="G32" s="55">
        <f t="shared" si="2"/>
        <v>2</v>
      </c>
      <c r="H32" s="55">
        <f t="shared" si="3"/>
        <v>19</v>
      </c>
      <c r="I32" s="55"/>
      <c r="J32" s="55"/>
      <c r="K32" s="58" t="str">
        <f t="shared" si="4"/>
        <v/>
      </c>
      <c r="L32" s="55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55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27.0" hidden="1" customHeight="1">
      <c r="A33" s="55">
        <v>27.0</v>
      </c>
      <c r="B33" s="56" t="str">
        <f>'ข้อมูล'!C31</f>
        <v/>
      </c>
      <c r="C33" s="55" t="str">
        <f>'ข้อมูล'!D31</f>
        <v/>
      </c>
      <c r="D33" s="57">
        <f>'ข้อมูล'!E31</f>
        <v>39873</v>
      </c>
      <c r="E33" s="57">
        <v>44698.0</v>
      </c>
      <c r="F33" s="55">
        <f t="shared" si="1"/>
        <v>13</v>
      </c>
      <c r="G33" s="55">
        <f t="shared" si="2"/>
        <v>2</v>
      </c>
      <c r="H33" s="55">
        <f t="shared" si="3"/>
        <v>16</v>
      </c>
      <c r="I33" s="55"/>
      <c r="J33" s="55"/>
      <c r="K33" s="58" t="str">
        <f t="shared" si="4"/>
        <v/>
      </c>
      <c r="L33" s="55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55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27.0" hidden="1" customHeight="1">
      <c r="A34" s="55">
        <v>28.0</v>
      </c>
      <c r="B34" s="56" t="str">
        <f>'ข้อมูล'!C32</f>
        <v/>
      </c>
      <c r="C34" s="55" t="str">
        <f>'ข้อมูล'!D32</f>
        <v/>
      </c>
      <c r="D34" s="57">
        <f>'ข้อมูล'!E32</f>
        <v>39874</v>
      </c>
      <c r="E34" s="57">
        <v>44698.0</v>
      </c>
      <c r="F34" s="55">
        <f t="shared" si="1"/>
        <v>13</v>
      </c>
      <c r="G34" s="55">
        <f t="shared" si="2"/>
        <v>2</v>
      </c>
      <c r="H34" s="55">
        <f t="shared" si="3"/>
        <v>15</v>
      </c>
      <c r="I34" s="55"/>
      <c r="J34" s="55"/>
      <c r="K34" s="58" t="str">
        <f t="shared" si="4"/>
        <v/>
      </c>
      <c r="L34" s="55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55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27.0" hidden="1" customHeight="1">
      <c r="A35" s="55">
        <v>29.0</v>
      </c>
      <c r="B35" s="56" t="str">
        <f>'ข้อมูล'!C33</f>
        <v/>
      </c>
      <c r="C35" s="55" t="str">
        <f>'ข้อมูล'!D33</f>
        <v/>
      </c>
      <c r="D35" s="57">
        <f>'ข้อมูล'!E33</f>
        <v>39875</v>
      </c>
      <c r="E35" s="57">
        <v>44698.0</v>
      </c>
      <c r="F35" s="55">
        <f t="shared" si="1"/>
        <v>13</v>
      </c>
      <c r="G35" s="55">
        <f t="shared" si="2"/>
        <v>2</v>
      </c>
      <c r="H35" s="55">
        <f t="shared" si="3"/>
        <v>14</v>
      </c>
      <c r="I35" s="55"/>
      <c r="J35" s="55"/>
      <c r="K35" s="58" t="str">
        <f t="shared" si="4"/>
        <v/>
      </c>
      <c r="L35" s="55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55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27.0" hidden="1" customHeight="1">
      <c r="A36" s="55">
        <v>30.0</v>
      </c>
      <c r="B36" s="56" t="str">
        <f>'ข้อมูล'!C34</f>
        <v/>
      </c>
      <c r="C36" s="55" t="str">
        <f>'ข้อมูล'!D34</f>
        <v/>
      </c>
      <c r="D36" s="57">
        <f>'ข้อมูล'!E34</f>
        <v>39876</v>
      </c>
      <c r="E36" s="57">
        <v>44698.0</v>
      </c>
      <c r="F36" s="55">
        <f t="shared" si="1"/>
        <v>13</v>
      </c>
      <c r="G36" s="55">
        <f t="shared" si="2"/>
        <v>2</v>
      </c>
      <c r="H36" s="55">
        <f t="shared" si="3"/>
        <v>13</v>
      </c>
      <c r="I36" s="55"/>
      <c r="J36" s="55"/>
      <c r="K36" s="58" t="str">
        <f t="shared" si="4"/>
        <v/>
      </c>
      <c r="L36" s="55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55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27.0" customHeight="1">
      <c r="A37" s="59"/>
      <c r="B37" s="60" t="s">
        <v>50</v>
      </c>
      <c r="C37" s="61"/>
      <c r="D37" s="62"/>
      <c r="E37" s="62"/>
      <c r="F37" s="59"/>
      <c r="G37" s="59"/>
      <c r="H37" s="59"/>
      <c r="I37" s="59"/>
      <c r="J37" s="59"/>
      <c r="K37" s="63"/>
      <c r="L37" s="59"/>
      <c r="M37" s="5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27.0" customHeight="1">
      <c r="A38" s="59"/>
      <c r="B38" s="64"/>
      <c r="C38" s="59"/>
      <c r="D38" s="65"/>
      <c r="E38" s="65"/>
      <c r="F38" s="59"/>
      <c r="G38" s="59"/>
      <c r="H38" s="59"/>
      <c r="I38" s="59"/>
      <c r="J38" s="59"/>
      <c r="K38" s="63"/>
      <c r="L38" s="59"/>
      <c r="M38" s="59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27.0" customHeight="1">
      <c r="A39" s="59"/>
      <c r="B39" s="66" t="s">
        <v>29</v>
      </c>
      <c r="C39" s="59"/>
      <c r="D39" s="65"/>
      <c r="E39" s="65"/>
      <c r="F39" s="59"/>
      <c r="G39" s="59"/>
      <c r="H39" s="59"/>
      <c r="I39" s="59"/>
      <c r="J39" s="59"/>
      <c r="K39" s="63"/>
      <c r="L39" s="59"/>
      <c r="M39" s="59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27.0" customHeight="1">
      <c r="A40" s="59"/>
      <c r="B40" s="66" t="s">
        <v>30</v>
      </c>
      <c r="C40" s="67">
        <v>6.0</v>
      </c>
      <c r="D40" s="68" t="s">
        <v>31</v>
      </c>
      <c r="E40" s="65"/>
      <c r="F40" s="59"/>
      <c r="G40" s="59"/>
      <c r="H40" s="59"/>
      <c r="I40" s="59"/>
      <c r="J40" s="59"/>
      <c r="K40" s="63"/>
      <c r="L40" s="59"/>
      <c r="M40" s="5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27.0" customHeight="1">
      <c r="A41" s="59"/>
      <c r="B41" s="64" t="s">
        <v>32</v>
      </c>
      <c r="C41" s="59">
        <f>COUNTIF(L7:L36,"สมส่วน")</f>
        <v>3</v>
      </c>
      <c r="D41" s="69" t="s">
        <v>33</v>
      </c>
      <c r="E41" s="70">
        <f>(C41*100)/C40</f>
        <v>50</v>
      </c>
      <c r="F41" s="71" t="s">
        <v>34</v>
      </c>
      <c r="G41" s="59"/>
      <c r="H41" s="59"/>
      <c r="I41" s="59">
        <f>COUNTIF(M7:M36,"สูง")</f>
        <v>1</v>
      </c>
      <c r="J41" s="69" t="s">
        <v>33</v>
      </c>
      <c r="K41" s="63"/>
      <c r="L41" s="63">
        <f>(I41*100)/C40</f>
        <v>16.66666667</v>
      </c>
      <c r="M41" s="59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27.0" customHeight="1">
      <c r="A42" s="59"/>
      <c r="B42" s="64" t="s">
        <v>35</v>
      </c>
      <c r="C42" s="59">
        <f>COUNTIF(L7:L36,"อ้วน")</f>
        <v>1</v>
      </c>
      <c r="D42" s="69" t="s">
        <v>33</v>
      </c>
      <c r="E42" s="70">
        <f>(C42*100)/C40</f>
        <v>16.66666667</v>
      </c>
      <c r="F42" s="71" t="s">
        <v>36</v>
      </c>
      <c r="G42" s="59"/>
      <c r="H42" s="59"/>
      <c r="I42" s="59">
        <f>COUNTIF(M7:M36,"ส่วนสูงตามเกณฑ์")</f>
        <v>3</v>
      </c>
      <c r="J42" s="69" t="s">
        <v>33</v>
      </c>
      <c r="K42" s="63"/>
      <c r="L42" s="63">
        <f>(I42*100)/C40</f>
        <v>50</v>
      </c>
      <c r="M42" s="59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27.0" customHeight="1">
      <c r="A43" s="59"/>
      <c r="B43" s="64" t="s">
        <v>37</v>
      </c>
      <c r="C43" s="59">
        <f>COUNTIF(L7:L36,"ท้วม")</f>
        <v>1</v>
      </c>
      <c r="D43" s="69" t="s">
        <v>33</v>
      </c>
      <c r="E43" s="70">
        <f>(C43*100)/C40</f>
        <v>16.66666667</v>
      </c>
      <c r="F43" s="71" t="s">
        <v>38</v>
      </c>
      <c r="G43" s="59"/>
      <c r="H43" s="59"/>
      <c r="I43" s="59">
        <f>COUNTIF(M7:M36,"ค่อนข้างสูง")</f>
        <v>2</v>
      </c>
      <c r="J43" s="69" t="s">
        <v>33</v>
      </c>
      <c r="K43" s="63"/>
      <c r="L43" s="63">
        <f>(I43*100)/C40</f>
        <v>33.33333333</v>
      </c>
      <c r="M43" s="59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27.0" customHeight="1">
      <c r="A44" s="59"/>
      <c r="B44" s="64" t="s">
        <v>39</v>
      </c>
      <c r="C44" s="59">
        <f>COUNTIF(L7:L36,"ผอม")</f>
        <v>1</v>
      </c>
      <c r="D44" s="69" t="s">
        <v>33</v>
      </c>
      <c r="E44" s="70">
        <f>(C44*100)/C40</f>
        <v>16.66666667</v>
      </c>
      <c r="F44" s="71" t="s">
        <v>40</v>
      </c>
      <c r="G44" s="59"/>
      <c r="H44" s="59"/>
      <c r="I44" s="59">
        <f>COUNTIF(M7:M36,"ค่อนข้างเตี้ย")</f>
        <v>0</v>
      </c>
      <c r="J44" s="69" t="s">
        <v>33</v>
      </c>
      <c r="K44" s="63"/>
      <c r="L44" s="63">
        <f>(I44*100)/C40</f>
        <v>0</v>
      </c>
      <c r="M44" s="5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27.0" customHeight="1">
      <c r="A45" s="59"/>
      <c r="B45" s="64" t="s">
        <v>41</v>
      </c>
      <c r="C45" s="59">
        <f>COUNTIF(L7:L36,"ผอมมาก")</f>
        <v>0</v>
      </c>
      <c r="D45" s="69" t="s">
        <v>33</v>
      </c>
      <c r="E45" s="70">
        <f>(C45*100)/C40</f>
        <v>0</v>
      </c>
      <c r="F45" s="71" t="s">
        <v>42</v>
      </c>
      <c r="G45" s="59"/>
      <c r="H45" s="59"/>
      <c r="I45" s="59">
        <f>COUNTIF(M7:M36,"เตี้ย")</f>
        <v>11</v>
      </c>
      <c r="J45" s="69" t="s">
        <v>33</v>
      </c>
      <c r="K45" s="63"/>
      <c r="L45" s="63">
        <f>(I45*100)/C40</f>
        <v>183.3333333</v>
      </c>
      <c r="M45" s="59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27.0" customHeight="1">
      <c r="A46" s="59"/>
      <c r="B46" s="64"/>
      <c r="C46" s="59"/>
      <c r="D46" s="69"/>
      <c r="E46" s="70"/>
      <c r="F46" s="71"/>
      <c r="G46" s="59"/>
      <c r="H46" s="59"/>
      <c r="I46" s="59"/>
      <c r="J46" s="69"/>
      <c r="K46" s="63"/>
      <c r="L46" s="59"/>
      <c r="M46" s="59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27.0" customHeight="1">
      <c r="A47" s="59"/>
      <c r="B47" s="64"/>
      <c r="C47" s="59"/>
      <c r="D47" s="69"/>
      <c r="E47" s="70"/>
      <c r="F47" s="71"/>
      <c r="G47" s="59"/>
      <c r="H47" s="59"/>
      <c r="I47" s="59"/>
      <c r="J47" s="69"/>
      <c r="K47" s="63"/>
      <c r="L47" s="59"/>
      <c r="M47" s="59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27.0" customHeight="1">
      <c r="A48" s="47"/>
      <c r="B48" s="48"/>
      <c r="C48" s="47"/>
      <c r="D48" s="72"/>
      <c r="E48" s="72"/>
      <c r="F48" s="47"/>
      <c r="G48" s="47"/>
      <c r="H48" s="47"/>
      <c r="I48" s="47"/>
      <c r="J48" s="47"/>
      <c r="K48" s="73"/>
      <c r="L48" s="47"/>
      <c r="M48" s="47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27.0" customHeight="1">
      <c r="A49" s="47"/>
      <c r="B49" s="48" t="s">
        <v>43</v>
      </c>
      <c r="C49" s="74" t="s">
        <v>44</v>
      </c>
      <c r="D49" s="48"/>
      <c r="E49" s="48"/>
      <c r="F49" s="48"/>
      <c r="G49" s="48"/>
      <c r="H49" s="48" t="s">
        <v>43</v>
      </c>
      <c r="I49" s="48"/>
      <c r="J49" s="48"/>
      <c r="K49" s="48" t="s">
        <v>45</v>
      </c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27.0" customHeight="1">
      <c r="A50" s="47"/>
      <c r="B50" s="48" t="s">
        <v>46</v>
      </c>
      <c r="C50" s="47"/>
      <c r="D50" s="48"/>
      <c r="E50" s="48"/>
      <c r="F50" s="48"/>
      <c r="G50" s="48"/>
      <c r="H50" s="74" t="s">
        <v>51</v>
      </c>
      <c r="I50" s="74"/>
      <c r="J50" s="74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27.0" customHeight="1">
      <c r="A51" s="47"/>
      <c r="B51" s="48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27.0" customHeight="1">
      <c r="A52" s="47"/>
      <c r="B52" s="48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27.0" customHeight="1">
      <c r="A53" s="47"/>
      <c r="B53" s="48"/>
      <c r="C53" s="47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27.0" customHeight="1">
      <c r="A54" s="47"/>
      <c r="B54" s="48"/>
      <c r="C54" s="47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27.0" customHeight="1">
      <c r="A55" s="47"/>
      <c r="B55" s="48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27.0" customHeight="1">
      <c r="A56" s="47"/>
      <c r="B56" s="48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27.0" customHeight="1">
      <c r="A57" s="47"/>
      <c r="B57" s="48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27.0" customHeight="1">
      <c r="A58" s="47"/>
      <c r="B58" s="48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27.0" customHeight="1">
      <c r="A59" s="47"/>
      <c r="B59" s="48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27.0" customHeight="1">
      <c r="A60" s="47"/>
      <c r="B60" s="48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27.0" customHeight="1">
      <c r="A61" s="47"/>
      <c r="B61" s="48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27.0" customHeight="1">
      <c r="A62" s="47"/>
      <c r="B62" s="48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27.0" customHeight="1">
      <c r="A63" s="47"/>
      <c r="B63" s="48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27.0" customHeight="1">
      <c r="A64" s="47"/>
      <c r="B64" s="48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27.0" customHeight="1">
      <c r="A65" s="47"/>
      <c r="B65" s="48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27.0" customHeight="1">
      <c r="A66" s="47"/>
      <c r="B66" s="48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27.0" customHeight="1">
      <c r="A67" s="47"/>
      <c r="B67" s="48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27.0" customHeight="1">
      <c r="A68" s="47"/>
      <c r="B68" s="48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27.0" customHeight="1">
      <c r="A69" s="47"/>
      <c r="B69" s="48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27.0" customHeight="1">
      <c r="A70" s="47"/>
      <c r="B70" s="48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27.0" customHeight="1">
      <c r="A71" s="47"/>
      <c r="B71" s="48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27.0" customHeight="1">
      <c r="A72" s="47"/>
      <c r="B72" s="48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27.0" customHeight="1">
      <c r="A73" s="47"/>
      <c r="B73" s="48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27.0" customHeight="1">
      <c r="A74" s="47"/>
      <c r="B74" s="48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27.0" customHeight="1">
      <c r="A75" s="47"/>
      <c r="B75" s="48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27.0" customHeight="1">
      <c r="A76" s="47"/>
      <c r="B76" s="48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27.0" customHeight="1">
      <c r="A77" s="47"/>
      <c r="B77" s="48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27.0" customHeight="1">
      <c r="A78" s="47"/>
      <c r="B78" s="48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27.0" customHeight="1">
      <c r="A79" s="47"/>
      <c r="B79" s="48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27.0" customHeight="1">
      <c r="A80" s="47"/>
      <c r="B80" s="48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27.0" customHeight="1">
      <c r="A81" s="47"/>
      <c r="B81" s="48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27.0" customHeight="1">
      <c r="A82" s="47"/>
      <c r="B82" s="48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27.0" customHeight="1">
      <c r="A83" s="47"/>
      <c r="B83" s="48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27.0" customHeight="1">
      <c r="A84" s="47"/>
      <c r="B84" s="48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27.0" customHeight="1">
      <c r="A85" s="47"/>
      <c r="B85" s="48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27.0" customHeight="1">
      <c r="A86" s="47"/>
      <c r="B86" s="48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27.0" customHeight="1">
      <c r="A87" s="47"/>
      <c r="B87" s="48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27.0" customHeight="1">
      <c r="A88" s="47"/>
      <c r="B88" s="48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27.0" customHeight="1">
      <c r="A89" s="47"/>
      <c r="B89" s="48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27.0" customHeight="1">
      <c r="A90" s="47"/>
      <c r="B90" s="48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27.0" customHeight="1">
      <c r="A91" s="47"/>
      <c r="B91" s="48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27.0" customHeight="1">
      <c r="A92" s="47"/>
      <c r="B92" s="48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27.0" customHeight="1">
      <c r="A93" s="47"/>
      <c r="B93" s="48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27.0" customHeight="1">
      <c r="A94" s="47"/>
      <c r="B94" s="48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27.0" customHeight="1">
      <c r="A95" s="47"/>
      <c r="B95" s="48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27.0" customHeight="1">
      <c r="A96" s="47"/>
      <c r="B96" s="48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27.0" customHeight="1">
      <c r="A97" s="47"/>
      <c r="B97" s="48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27.0" customHeight="1">
      <c r="A98" s="47"/>
      <c r="B98" s="48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27.0" customHeight="1">
      <c r="A99" s="47"/>
      <c r="B99" s="48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27.0" customHeight="1">
      <c r="A100" s="47"/>
      <c r="B100" s="48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27.0" customHeight="1">
      <c r="A101" s="47"/>
      <c r="B101" s="48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27.0" customHeight="1">
      <c r="A102" s="47"/>
      <c r="B102" s="48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27.0" customHeight="1">
      <c r="A103" s="47"/>
      <c r="B103" s="48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27.0" customHeight="1">
      <c r="A104" s="47"/>
      <c r="B104" s="48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27.0" customHeight="1">
      <c r="A105" s="47"/>
      <c r="B105" s="48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27.0" customHeight="1">
      <c r="A106" s="47"/>
      <c r="B106" s="48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27.0" customHeight="1">
      <c r="A107" s="47"/>
      <c r="B107" s="48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27.0" customHeight="1">
      <c r="A108" s="47"/>
      <c r="B108" s="48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27.0" customHeight="1">
      <c r="A109" s="47"/>
      <c r="B109" s="48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27.0" customHeight="1">
      <c r="A110" s="47"/>
      <c r="B110" s="48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27.0" customHeight="1">
      <c r="A111" s="47"/>
      <c r="B111" s="48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27.0" customHeight="1">
      <c r="A112" s="47"/>
      <c r="B112" s="48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27.0" customHeight="1">
      <c r="A113" s="47"/>
      <c r="B113" s="48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27.0" customHeight="1">
      <c r="A114" s="47"/>
      <c r="B114" s="48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27.0" customHeight="1">
      <c r="A115" s="47"/>
      <c r="B115" s="48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27.0" customHeight="1">
      <c r="A116" s="47"/>
      <c r="B116" s="48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27.0" customHeight="1">
      <c r="A117" s="47"/>
      <c r="B117" s="48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27.0" customHeight="1">
      <c r="A118" s="47"/>
      <c r="B118" s="48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27.0" customHeight="1">
      <c r="A119" s="47"/>
      <c r="B119" s="48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27.0" customHeight="1">
      <c r="A120" s="47"/>
      <c r="B120" s="48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27.0" customHeight="1">
      <c r="A121" s="47"/>
      <c r="B121" s="48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27.0" customHeight="1">
      <c r="A122" s="47"/>
      <c r="B122" s="48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27.0" customHeight="1">
      <c r="A123" s="47"/>
      <c r="B123" s="48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27.0" customHeight="1">
      <c r="A124" s="47"/>
      <c r="B124" s="48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27.0" customHeight="1">
      <c r="A125" s="47"/>
      <c r="B125" s="48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27.0" customHeight="1">
      <c r="A126" s="47"/>
      <c r="B126" s="48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27.0" customHeight="1">
      <c r="A127" s="47"/>
      <c r="B127" s="48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27.0" customHeight="1">
      <c r="A128" s="47"/>
      <c r="B128" s="48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27.0" customHeight="1">
      <c r="A129" s="47"/>
      <c r="B129" s="48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27.0" customHeight="1">
      <c r="A130" s="47"/>
      <c r="B130" s="48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27.0" customHeight="1">
      <c r="A131" s="47"/>
      <c r="B131" s="48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27.0" customHeight="1">
      <c r="A132" s="47"/>
      <c r="B132" s="48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27.0" customHeight="1">
      <c r="A133" s="47"/>
      <c r="B133" s="48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27.0" customHeight="1">
      <c r="A134" s="47"/>
      <c r="B134" s="48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27.0" customHeight="1">
      <c r="A135" s="47"/>
      <c r="B135" s="48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27.0" customHeight="1">
      <c r="A136" s="47"/>
      <c r="B136" s="48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27.0" customHeight="1">
      <c r="A137" s="47"/>
      <c r="B137" s="48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27.0" customHeight="1">
      <c r="A138" s="47"/>
      <c r="B138" s="48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27.0" customHeight="1">
      <c r="A139" s="47"/>
      <c r="B139" s="48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27.0" customHeight="1">
      <c r="A140" s="47"/>
      <c r="B140" s="48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27.0" customHeight="1">
      <c r="A141" s="47"/>
      <c r="B141" s="48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27.0" customHeight="1">
      <c r="A142" s="47"/>
      <c r="B142" s="48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27.0" customHeight="1">
      <c r="A143" s="47"/>
      <c r="B143" s="48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27.0" customHeight="1">
      <c r="A144" s="47"/>
      <c r="B144" s="48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27.0" customHeight="1">
      <c r="A145" s="47"/>
      <c r="B145" s="48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27.0" customHeight="1">
      <c r="A146" s="47"/>
      <c r="B146" s="48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27.0" customHeight="1">
      <c r="A147" s="47"/>
      <c r="B147" s="48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27.0" customHeight="1">
      <c r="A148" s="47"/>
      <c r="B148" s="48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27.0" customHeight="1">
      <c r="A149" s="47"/>
      <c r="B149" s="48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27.0" customHeight="1">
      <c r="A150" s="47"/>
      <c r="B150" s="48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27.0" customHeight="1">
      <c r="A151" s="47"/>
      <c r="B151" s="48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27.0" customHeight="1">
      <c r="A152" s="47"/>
      <c r="B152" s="48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27.0" customHeight="1">
      <c r="A153" s="47"/>
      <c r="B153" s="48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27.0" customHeight="1">
      <c r="A154" s="47"/>
      <c r="B154" s="48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27.0" customHeight="1">
      <c r="A155" s="47"/>
      <c r="B155" s="48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27.0" customHeight="1">
      <c r="A156" s="47"/>
      <c r="B156" s="48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27.0" customHeight="1">
      <c r="A157" s="47"/>
      <c r="B157" s="48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27.0" customHeight="1">
      <c r="A158" s="47"/>
      <c r="B158" s="48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27.0" customHeight="1">
      <c r="A159" s="47"/>
      <c r="B159" s="48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27.0" customHeight="1">
      <c r="A160" s="47"/>
      <c r="B160" s="48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27.0" customHeight="1">
      <c r="A161" s="47"/>
      <c r="B161" s="48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27.0" customHeight="1">
      <c r="A162" s="47"/>
      <c r="B162" s="48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27.0" customHeight="1">
      <c r="A163" s="47"/>
      <c r="B163" s="48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27.0" customHeight="1">
      <c r="A164" s="47"/>
      <c r="B164" s="48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27.0" customHeight="1">
      <c r="A165" s="47"/>
      <c r="B165" s="48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27.0" customHeight="1">
      <c r="A166" s="47"/>
      <c r="B166" s="48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27.0" customHeight="1">
      <c r="A167" s="47"/>
      <c r="B167" s="48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27.0" customHeight="1">
      <c r="A168" s="47"/>
      <c r="B168" s="48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27.0" customHeight="1">
      <c r="A169" s="47"/>
      <c r="B169" s="48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27.0" customHeight="1">
      <c r="A170" s="47"/>
      <c r="B170" s="48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27.0" customHeight="1">
      <c r="A171" s="47"/>
      <c r="B171" s="48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27.0" customHeight="1">
      <c r="A172" s="47"/>
      <c r="B172" s="48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27.0" customHeight="1">
      <c r="A173" s="47"/>
      <c r="B173" s="48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27.0" customHeight="1">
      <c r="A174" s="47"/>
      <c r="B174" s="48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27.0" customHeight="1">
      <c r="A175" s="47"/>
      <c r="B175" s="48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27.0" customHeight="1">
      <c r="A176" s="47"/>
      <c r="B176" s="48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27.0" customHeight="1">
      <c r="A177" s="47"/>
      <c r="B177" s="48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27.0" customHeight="1">
      <c r="A178" s="47"/>
      <c r="B178" s="48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27.0" customHeight="1">
      <c r="A179" s="47"/>
      <c r="B179" s="48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27.0" customHeight="1">
      <c r="A180" s="47"/>
      <c r="B180" s="48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27.0" customHeight="1">
      <c r="A181" s="47"/>
      <c r="B181" s="48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27.0" customHeight="1">
      <c r="A182" s="47"/>
      <c r="B182" s="48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27.0" customHeight="1">
      <c r="A183" s="47"/>
      <c r="B183" s="48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27.0" customHeight="1">
      <c r="A184" s="47"/>
      <c r="B184" s="48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27.0" customHeight="1">
      <c r="A185" s="47"/>
      <c r="B185" s="48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27.0" customHeight="1">
      <c r="A186" s="47"/>
      <c r="B186" s="48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27.0" customHeight="1">
      <c r="A187" s="47"/>
      <c r="B187" s="48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27.0" customHeight="1">
      <c r="A188" s="47"/>
      <c r="B188" s="48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27.0" customHeight="1">
      <c r="A189" s="47"/>
      <c r="B189" s="48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27.0" customHeight="1">
      <c r="A190" s="47"/>
      <c r="B190" s="48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27.0" customHeight="1">
      <c r="A191" s="47"/>
      <c r="B191" s="48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27.0" customHeight="1">
      <c r="A192" s="47"/>
      <c r="B192" s="48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27.0" customHeight="1">
      <c r="A193" s="47"/>
      <c r="B193" s="48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27.0" customHeight="1">
      <c r="A194" s="47"/>
      <c r="B194" s="48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27.0" customHeight="1">
      <c r="A195" s="47"/>
      <c r="B195" s="48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27.0" customHeight="1">
      <c r="A196" s="47"/>
      <c r="B196" s="48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27.0" customHeight="1">
      <c r="A197" s="47"/>
      <c r="B197" s="48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27.0" customHeight="1">
      <c r="A198" s="47"/>
      <c r="B198" s="48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27.0" customHeight="1">
      <c r="A199" s="47"/>
      <c r="B199" s="48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27.0" customHeight="1">
      <c r="A200" s="47"/>
      <c r="B200" s="48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27.0" customHeight="1">
      <c r="A201" s="47"/>
      <c r="B201" s="48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27.0" customHeight="1">
      <c r="A202" s="47"/>
      <c r="B202" s="48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27.0" customHeight="1">
      <c r="A203" s="47"/>
      <c r="B203" s="48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27.0" customHeight="1">
      <c r="A204" s="47"/>
      <c r="B204" s="48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27.0" customHeight="1">
      <c r="A205" s="47"/>
      <c r="B205" s="48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27.0" customHeight="1">
      <c r="A206" s="47"/>
      <c r="B206" s="48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27.0" customHeight="1">
      <c r="A207" s="47"/>
      <c r="B207" s="48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27.0" customHeight="1">
      <c r="A208" s="47"/>
      <c r="B208" s="48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27.0" customHeight="1">
      <c r="A209" s="47"/>
      <c r="B209" s="48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27.0" customHeight="1">
      <c r="A210" s="47"/>
      <c r="B210" s="48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27.0" customHeight="1">
      <c r="A211" s="47"/>
      <c r="B211" s="48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27.0" customHeight="1">
      <c r="A212" s="47"/>
      <c r="B212" s="48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27.0" customHeight="1">
      <c r="A213" s="47"/>
      <c r="B213" s="48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27.0" customHeight="1">
      <c r="A214" s="47"/>
      <c r="B214" s="48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27.0" customHeight="1">
      <c r="A215" s="47"/>
      <c r="B215" s="48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27.0" customHeight="1">
      <c r="A216" s="47"/>
      <c r="B216" s="48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27.0" customHeight="1">
      <c r="A217" s="47"/>
      <c r="B217" s="48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27.0" customHeight="1">
      <c r="A218" s="47"/>
      <c r="B218" s="48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27.0" customHeight="1">
      <c r="A219" s="47"/>
      <c r="B219" s="48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27.0" customHeight="1">
      <c r="A220" s="47"/>
      <c r="B220" s="48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27.0" customHeight="1">
      <c r="A221" s="47"/>
      <c r="B221" s="48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27.0" customHeight="1">
      <c r="A222" s="47"/>
      <c r="B222" s="48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27.0" customHeight="1">
      <c r="A223" s="47"/>
      <c r="B223" s="48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27.0" customHeight="1">
      <c r="A224" s="47"/>
      <c r="B224" s="48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27.0" customHeight="1">
      <c r="A225" s="47"/>
      <c r="B225" s="48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27.0" customHeight="1">
      <c r="A226" s="47"/>
      <c r="B226" s="48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27.0" customHeight="1">
      <c r="A227" s="47"/>
      <c r="B227" s="48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27.0" customHeight="1">
      <c r="A228" s="47"/>
      <c r="B228" s="48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27.0" customHeight="1">
      <c r="A229" s="47"/>
      <c r="B229" s="48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27.0" customHeight="1">
      <c r="A230" s="47"/>
      <c r="B230" s="48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27.0" customHeight="1">
      <c r="A231" s="47"/>
      <c r="B231" s="48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27.0" customHeight="1">
      <c r="A232" s="47"/>
      <c r="B232" s="48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27.0" customHeight="1">
      <c r="A233" s="47"/>
      <c r="B233" s="48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27.0" customHeight="1">
      <c r="A234" s="47"/>
      <c r="B234" s="48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27.0" customHeight="1">
      <c r="A235" s="47"/>
      <c r="B235" s="48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27.0" customHeight="1">
      <c r="A236" s="47"/>
      <c r="B236" s="48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27.0" customHeight="1">
      <c r="A237" s="47"/>
      <c r="B237" s="48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27.0" customHeight="1">
      <c r="A238" s="47"/>
      <c r="B238" s="48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27.0" customHeight="1">
      <c r="A239" s="47"/>
      <c r="B239" s="48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27.0" customHeight="1">
      <c r="A240" s="47"/>
      <c r="B240" s="48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27.0" customHeight="1">
      <c r="A241" s="47"/>
      <c r="B241" s="48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27.0" customHeight="1">
      <c r="A242" s="47"/>
      <c r="B242" s="48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27.0" customHeight="1">
      <c r="A243" s="47"/>
      <c r="B243" s="48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27.0" customHeight="1">
      <c r="A244" s="47"/>
      <c r="B244" s="48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27.0" customHeight="1">
      <c r="A245" s="47"/>
      <c r="B245" s="48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27.0" customHeight="1">
      <c r="A246" s="47"/>
      <c r="B246" s="48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27.0" customHeight="1">
      <c r="A247" s="47"/>
      <c r="B247" s="48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27.0" customHeight="1">
      <c r="A248" s="47"/>
      <c r="B248" s="48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27.0" customHeight="1">
      <c r="A249" s="47"/>
      <c r="B249" s="48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27.0" customHeight="1">
      <c r="A250" s="47"/>
      <c r="B250" s="48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27.0" customHeight="1">
      <c r="A251" s="47"/>
      <c r="B251" s="48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27.0" customHeight="1">
      <c r="A252" s="47"/>
      <c r="B252" s="48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27.0" customHeight="1">
      <c r="A253" s="47"/>
      <c r="B253" s="48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27.0" customHeight="1">
      <c r="A254" s="47"/>
      <c r="B254" s="48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27.0" customHeight="1">
      <c r="A255" s="47"/>
      <c r="B255" s="48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27.0" customHeight="1">
      <c r="A256" s="47"/>
      <c r="B256" s="48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27.0" customHeight="1">
      <c r="A257" s="47"/>
      <c r="B257" s="48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27.0" customHeight="1">
      <c r="A258" s="47"/>
      <c r="B258" s="48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27.0" customHeight="1">
      <c r="A259" s="47"/>
      <c r="B259" s="48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27.0" customHeight="1">
      <c r="A260" s="47"/>
      <c r="B260" s="48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27.0" customHeight="1">
      <c r="A261" s="47"/>
      <c r="B261" s="48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27.0" customHeight="1">
      <c r="A262" s="47"/>
      <c r="B262" s="48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27.0" customHeight="1">
      <c r="A263" s="47"/>
      <c r="B263" s="48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27.0" customHeight="1">
      <c r="A264" s="47"/>
      <c r="B264" s="48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27.0" customHeight="1">
      <c r="A265" s="47"/>
      <c r="B265" s="48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27.0" customHeight="1">
      <c r="A266" s="47"/>
      <c r="B266" s="48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27.0" customHeight="1">
      <c r="A267" s="47"/>
      <c r="B267" s="48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27.0" customHeight="1">
      <c r="A268" s="47"/>
      <c r="B268" s="48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27.0" customHeight="1">
      <c r="A269" s="47"/>
      <c r="B269" s="48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27.0" customHeight="1">
      <c r="A270" s="47"/>
      <c r="B270" s="48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27.0" customHeight="1">
      <c r="A271" s="47"/>
      <c r="B271" s="48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27.0" customHeight="1">
      <c r="A272" s="47"/>
      <c r="B272" s="48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27.0" customHeight="1">
      <c r="A273" s="47"/>
      <c r="B273" s="48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27.0" customHeight="1">
      <c r="A274" s="47"/>
      <c r="B274" s="48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27.0" customHeight="1">
      <c r="A275" s="47"/>
      <c r="B275" s="48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27.0" customHeight="1">
      <c r="A276" s="47"/>
      <c r="B276" s="48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27.0" customHeight="1">
      <c r="A277" s="47"/>
      <c r="B277" s="48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27.0" customHeight="1">
      <c r="A278" s="47"/>
      <c r="B278" s="48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27.0" customHeight="1">
      <c r="A279" s="47"/>
      <c r="B279" s="48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27.0" customHeight="1">
      <c r="A280" s="47"/>
      <c r="B280" s="48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27.0" customHeight="1">
      <c r="A281" s="47"/>
      <c r="B281" s="48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27.0" customHeight="1">
      <c r="A282" s="47"/>
      <c r="B282" s="48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27.0" customHeight="1">
      <c r="A283" s="47"/>
      <c r="B283" s="48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27.0" customHeight="1">
      <c r="A284" s="47"/>
      <c r="B284" s="48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27.0" customHeight="1">
      <c r="A285" s="47"/>
      <c r="B285" s="48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27.0" customHeight="1">
      <c r="A286" s="47"/>
      <c r="B286" s="48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27.0" customHeight="1">
      <c r="A287" s="47"/>
      <c r="B287" s="48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27.0" customHeight="1">
      <c r="A288" s="47"/>
      <c r="B288" s="48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27.0" customHeight="1">
      <c r="A289" s="47"/>
      <c r="B289" s="48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27.0" customHeight="1">
      <c r="A290" s="47"/>
      <c r="B290" s="48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27.0" customHeight="1">
      <c r="A291" s="47"/>
      <c r="B291" s="48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27.0" customHeight="1">
      <c r="A292" s="47"/>
      <c r="B292" s="48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27.0" customHeight="1">
      <c r="A293" s="47"/>
      <c r="B293" s="48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27.0" customHeight="1">
      <c r="A294" s="47"/>
      <c r="B294" s="48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27.0" customHeight="1">
      <c r="A295" s="47"/>
      <c r="B295" s="48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27.0" customHeight="1">
      <c r="A296" s="47"/>
      <c r="B296" s="48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27.0" customHeight="1">
      <c r="A297" s="47"/>
      <c r="B297" s="48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27.0" customHeight="1">
      <c r="A298" s="47"/>
      <c r="B298" s="48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27.0" customHeight="1">
      <c r="A299" s="47"/>
      <c r="B299" s="48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27.0" customHeight="1">
      <c r="A300" s="47"/>
      <c r="B300" s="48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27.0" customHeight="1">
      <c r="A301" s="47"/>
      <c r="B301" s="48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27.0" customHeight="1">
      <c r="A302" s="47"/>
      <c r="B302" s="48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27.0" customHeight="1">
      <c r="A303" s="47"/>
      <c r="B303" s="48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27.0" customHeight="1">
      <c r="A304" s="47"/>
      <c r="B304" s="48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27.0" customHeight="1">
      <c r="A305" s="47"/>
      <c r="B305" s="48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27.0" customHeight="1">
      <c r="A306" s="47"/>
      <c r="B306" s="48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27.0" customHeight="1">
      <c r="A307" s="47"/>
      <c r="B307" s="48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27.0" customHeight="1">
      <c r="A308" s="47"/>
      <c r="B308" s="48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27.0" customHeight="1">
      <c r="A309" s="47"/>
      <c r="B309" s="48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27.0" customHeight="1">
      <c r="A310" s="47"/>
      <c r="B310" s="48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27.0" customHeight="1">
      <c r="A311" s="47"/>
      <c r="B311" s="48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27.0" customHeight="1">
      <c r="A312" s="47"/>
      <c r="B312" s="48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27.0" customHeight="1">
      <c r="A313" s="47"/>
      <c r="B313" s="48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27.0" customHeight="1">
      <c r="A314" s="47"/>
      <c r="B314" s="48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27.0" customHeight="1">
      <c r="A315" s="47"/>
      <c r="B315" s="48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27.0" customHeight="1">
      <c r="A316" s="47"/>
      <c r="B316" s="48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27.0" customHeight="1">
      <c r="A317" s="47"/>
      <c r="B317" s="48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27.0" customHeight="1">
      <c r="A318" s="47"/>
      <c r="B318" s="48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27.0" customHeight="1">
      <c r="A319" s="47"/>
      <c r="B319" s="48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27.0" customHeight="1">
      <c r="A320" s="47"/>
      <c r="B320" s="48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27.0" customHeight="1">
      <c r="A321" s="47"/>
      <c r="B321" s="48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27.0" customHeight="1">
      <c r="A322" s="47"/>
      <c r="B322" s="48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27.0" customHeight="1">
      <c r="A323" s="47"/>
      <c r="B323" s="48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27.0" customHeight="1">
      <c r="A324" s="47"/>
      <c r="B324" s="48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27.0" customHeight="1">
      <c r="A325" s="47"/>
      <c r="B325" s="48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27.0" customHeight="1">
      <c r="A326" s="47"/>
      <c r="B326" s="48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27.0" customHeight="1">
      <c r="A327" s="47"/>
      <c r="B327" s="48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27.0" customHeight="1">
      <c r="A328" s="47"/>
      <c r="B328" s="48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27.0" customHeight="1">
      <c r="A329" s="47"/>
      <c r="B329" s="48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27.0" customHeight="1">
      <c r="A330" s="47"/>
      <c r="B330" s="48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27.0" customHeight="1">
      <c r="A331" s="47"/>
      <c r="B331" s="48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27.0" customHeight="1">
      <c r="A332" s="47"/>
      <c r="B332" s="48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27.0" customHeight="1">
      <c r="A333" s="47"/>
      <c r="B333" s="48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27.0" customHeight="1">
      <c r="A334" s="47"/>
      <c r="B334" s="48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27.0" customHeight="1">
      <c r="A335" s="47"/>
      <c r="B335" s="48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27.0" customHeight="1">
      <c r="A336" s="47"/>
      <c r="B336" s="48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27.0" customHeight="1">
      <c r="A337" s="47"/>
      <c r="B337" s="48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27.0" customHeight="1">
      <c r="A338" s="47"/>
      <c r="B338" s="48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27.0" customHeight="1">
      <c r="A339" s="47"/>
      <c r="B339" s="48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27.0" customHeight="1">
      <c r="A340" s="47"/>
      <c r="B340" s="48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27.0" customHeight="1">
      <c r="A341" s="47"/>
      <c r="B341" s="48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27.0" customHeight="1">
      <c r="A342" s="47"/>
      <c r="B342" s="48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27.0" customHeight="1">
      <c r="A343" s="47"/>
      <c r="B343" s="48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27.0" customHeight="1">
      <c r="A344" s="47"/>
      <c r="B344" s="48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27.0" customHeight="1">
      <c r="A345" s="47"/>
      <c r="B345" s="48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27.0" customHeight="1">
      <c r="A346" s="47"/>
      <c r="B346" s="48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27.0" customHeight="1">
      <c r="A347" s="47"/>
      <c r="B347" s="48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27.0" customHeight="1">
      <c r="A348" s="47"/>
      <c r="B348" s="48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27.0" customHeight="1">
      <c r="A349" s="47"/>
      <c r="B349" s="48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27.0" customHeight="1">
      <c r="A350" s="47"/>
      <c r="B350" s="48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27.0" customHeight="1">
      <c r="A351" s="47"/>
      <c r="B351" s="48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27.0" customHeight="1">
      <c r="A352" s="47"/>
      <c r="B352" s="48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27.0" customHeight="1">
      <c r="A353" s="47"/>
      <c r="B353" s="48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27.0" customHeight="1">
      <c r="A354" s="47"/>
      <c r="B354" s="48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27.0" customHeight="1">
      <c r="A355" s="47"/>
      <c r="B355" s="48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27.0" customHeight="1">
      <c r="A356" s="47"/>
      <c r="B356" s="48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27.0" customHeight="1">
      <c r="A357" s="47"/>
      <c r="B357" s="48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27.0" customHeight="1">
      <c r="A358" s="47"/>
      <c r="B358" s="48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27.0" customHeight="1">
      <c r="A359" s="47"/>
      <c r="B359" s="48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27.0" customHeight="1">
      <c r="A360" s="47"/>
      <c r="B360" s="48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27.0" customHeight="1">
      <c r="A361" s="47"/>
      <c r="B361" s="48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27.0" customHeight="1">
      <c r="A362" s="47"/>
      <c r="B362" s="48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27.0" customHeight="1">
      <c r="A363" s="47"/>
      <c r="B363" s="48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27.0" customHeight="1">
      <c r="A364" s="47"/>
      <c r="B364" s="48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27.0" customHeight="1">
      <c r="A365" s="47"/>
      <c r="B365" s="48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27.0" customHeight="1">
      <c r="A366" s="47"/>
      <c r="B366" s="48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27.0" customHeight="1">
      <c r="A367" s="47"/>
      <c r="B367" s="48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27.0" customHeight="1">
      <c r="A368" s="47"/>
      <c r="B368" s="48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27.0" customHeight="1">
      <c r="A369" s="47"/>
      <c r="B369" s="48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27.0" customHeight="1">
      <c r="A370" s="47"/>
      <c r="B370" s="48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27.0" customHeight="1">
      <c r="A371" s="47"/>
      <c r="B371" s="48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27.0" customHeight="1">
      <c r="A372" s="47"/>
      <c r="B372" s="48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27.0" customHeight="1">
      <c r="A373" s="47"/>
      <c r="B373" s="48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27.0" customHeight="1">
      <c r="A374" s="47"/>
      <c r="B374" s="48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27.0" customHeight="1">
      <c r="A375" s="47"/>
      <c r="B375" s="48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27.0" customHeight="1">
      <c r="A376" s="47"/>
      <c r="B376" s="48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27.0" customHeight="1">
      <c r="A377" s="47"/>
      <c r="B377" s="48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27.0" customHeight="1">
      <c r="A378" s="47"/>
      <c r="B378" s="48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27.0" customHeight="1">
      <c r="A379" s="47"/>
      <c r="B379" s="48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27.0" customHeight="1">
      <c r="A380" s="47"/>
      <c r="B380" s="48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27.0" customHeight="1">
      <c r="A381" s="47"/>
      <c r="B381" s="48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27.0" customHeight="1">
      <c r="A382" s="47"/>
      <c r="B382" s="48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27.0" customHeight="1">
      <c r="A383" s="47"/>
      <c r="B383" s="48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27.0" customHeight="1">
      <c r="A384" s="47"/>
      <c r="B384" s="48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27.0" customHeight="1">
      <c r="A385" s="47"/>
      <c r="B385" s="48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27.0" customHeight="1">
      <c r="A386" s="47"/>
      <c r="B386" s="48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27.0" customHeight="1">
      <c r="A387" s="47"/>
      <c r="B387" s="48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27.0" customHeight="1">
      <c r="A388" s="47"/>
      <c r="B388" s="48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27.0" customHeight="1">
      <c r="A389" s="47"/>
      <c r="B389" s="48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27.0" customHeight="1">
      <c r="A390" s="47"/>
      <c r="B390" s="48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27.0" customHeight="1">
      <c r="A391" s="47"/>
      <c r="B391" s="48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27.0" customHeight="1">
      <c r="A392" s="47"/>
      <c r="B392" s="48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27.0" customHeight="1">
      <c r="A393" s="47"/>
      <c r="B393" s="48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27.0" customHeight="1">
      <c r="A394" s="47"/>
      <c r="B394" s="48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27.0" customHeight="1">
      <c r="A395" s="47"/>
      <c r="B395" s="48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27.0" customHeight="1">
      <c r="A396" s="47"/>
      <c r="B396" s="48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27.0" customHeight="1">
      <c r="A397" s="47"/>
      <c r="B397" s="48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27.0" customHeight="1">
      <c r="A398" s="47"/>
      <c r="B398" s="48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27.0" customHeight="1">
      <c r="A399" s="47"/>
      <c r="B399" s="48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27.0" customHeight="1">
      <c r="A400" s="47"/>
      <c r="B400" s="48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27.0" customHeight="1">
      <c r="A401" s="47"/>
      <c r="B401" s="48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27.0" customHeight="1">
      <c r="A402" s="47"/>
      <c r="B402" s="48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27.0" customHeight="1">
      <c r="A403" s="47"/>
      <c r="B403" s="48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27.0" customHeight="1">
      <c r="A404" s="47"/>
      <c r="B404" s="48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27.0" customHeight="1">
      <c r="A405" s="47"/>
      <c r="B405" s="48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27.0" customHeight="1">
      <c r="A406" s="47"/>
      <c r="B406" s="48"/>
      <c r="C406" s="47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27.0" customHeight="1">
      <c r="A407" s="47"/>
      <c r="B407" s="48"/>
      <c r="C407" s="47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27.0" customHeight="1">
      <c r="A408" s="47"/>
      <c r="B408" s="48"/>
      <c r="C408" s="47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27.0" customHeight="1">
      <c r="A409" s="47"/>
      <c r="B409" s="48"/>
      <c r="C409" s="47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27.0" customHeight="1">
      <c r="A410" s="47"/>
      <c r="B410" s="48"/>
      <c r="C410" s="47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27.0" customHeight="1">
      <c r="A411" s="47"/>
      <c r="B411" s="48"/>
      <c r="C411" s="47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27.0" customHeight="1">
      <c r="A412" s="47"/>
      <c r="B412" s="48"/>
      <c r="C412" s="47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27.0" customHeight="1">
      <c r="A413" s="47"/>
      <c r="B413" s="48"/>
      <c r="C413" s="47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27.0" customHeight="1">
      <c r="A414" s="47"/>
      <c r="B414" s="48"/>
      <c r="C414" s="47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27.0" customHeight="1">
      <c r="A415" s="47"/>
      <c r="B415" s="48"/>
      <c r="C415" s="47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27.0" customHeight="1">
      <c r="A416" s="47"/>
      <c r="B416" s="48"/>
      <c r="C416" s="47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27.0" customHeight="1">
      <c r="A417" s="47"/>
      <c r="B417" s="48"/>
      <c r="C417" s="47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27.0" customHeight="1">
      <c r="A418" s="47"/>
      <c r="B418" s="48"/>
      <c r="C418" s="47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27.0" customHeight="1">
      <c r="A419" s="47"/>
      <c r="B419" s="48"/>
      <c r="C419" s="47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27.0" customHeight="1">
      <c r="A420" s="47"/>
      <c r="B420" s="48"/>
      <c r="C420" s="47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27.0" customHeight="1">
      <c r="A421" s="47"/>
      <c r="B421" s="48"/>
      <c r="C421" s="47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27.0" customHeight="1">
      <c r="A422" s="47"/>
      <c r="B422" s="48"/>
      <c r="C422" s="47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27.0" customHeight="1">
      <c r="A423" s="47"/>
      <c r="B423" s="48"/>
      <c r="C423" s="47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27.0" customHeight="1">
      <c r="A424" s="47"/>
      <c r="B424" s="48"/>
      <c r="C424" s="47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27.0" customHeight="1">
      <c r="A425" s="47"/>
      <c r="B425" s="48"/>
      <c r="C425" s="47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27.0" customHeight="1">
      <c r="A426" s="47"/>
      <c r="B426" s="48"/>
      <c r="C426" s="47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27.0" customHeight="1">
      <c r="A427" s="47"/>
      <c r="B427" s="48"/>
      <c r="C427" s="47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27.0" customHeight="1">
      <c r="A428" s="47"/>
      <c r="B428" s="48"/>
      <c r="C428" s="47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27.0" customHeight="1">
      <c r="A429" s="47"/>
      <c r="B429" s="48"/>
      <c r="C429" s="47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27.0" customHeight="1">
      <c r="A430" s="47"/>
      <c r="B430" s="48"/>
      <c r="C430" s="47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27.0" customHeight="1">
      <c r="A431" s="47"/>
      <c r="B431" s="48"/>
      <c r="C431" s="47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27.0" customHeight="1">
      <c r="A432" s="47"/>
      <c r="B432" s="48"/>
      <c r="C432" s="47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27.0" customHeight="1">
      <c r="A433" s="47"/>
      <c r="B433" s="48"/>
      <c r="C433" s="47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27.0" customHeight="1">
      <c r="A434" s="47"/>
      <c r="B434" s="48"/>
      <c r="C434" s="47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27.0" customHeight="1">
      <c r="A435" s="47"/>
      <c r="B435" s="48"/>
      <c r="C435" s="47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27.0" customHeight="1">
      <c r="A436" s="47"/>
      <c r="B436" s="48"/>
      <c r="C436" s="47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27.0" customHeight="1">
      <c r="A437" s="47"/>
      <c r="B437" s="48"/>
      <c r="C437" s="47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27.0" customHeight="1">
      <c r="A438" s="47"/>
      <c r="B438" s="48"/>
      <c r="C438" s="47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27.0" customHeight="1">
      <c r="A439" s="47"/>
      <c r="B439" s="48"/>
      <c r="C439" s="47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27.0" customHeight="1">
      <c r="A440" s="47"/>
      <c r="B440" s="48"/>
      <c r="C440" s="47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27.0" customHeight="1">
      <c r="A441" s="47"/>
      <c r="B441" s="48"/>
      <c r="C441" s="47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27.0" customHeight="1">
      <c r="A442" s="47"/>
      <c r="B442" s="48"/>
      <c r="C442" s="47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27.0" customHeight="1">
      <c r="A443" s="47"/>
      <c r="B443" s="48"/>
      <c r="C443" s="47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27.0" customHeight="1">
      <c r="A444" s="47"/>
      <c r="B444" s="48"/>
      <c r="C444" s="47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27.0" customHeight="1">
      <c r="A445" s="47"/>
      <c r="B445" s="48"/>
      <c r="C445" s="47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27.0" customHeight="1">
      <c r="A446" s="47"/>
      <c r="B446" s="48"/>
      <c r="C446" s="47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27.0" customHeight="1">
      <c r="A447" s="47"/>
      <c r="B447" s="48"/>
      <c r="C447" s="47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27.0" customHeight="1">
      <c r="A448" s="47"/>
      <c r="B448" s="48"/>
      <c r="C448" s="47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27.0" customHeight="1">
      <c r="A449" s="47"/>
      <c r="B449" s="48"/>
      <c r="C449" s="47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27.0" customHeight="1">
      <c r="A450" s="47"/>
      <c r="B450" s="48"/>
      <c r="C450" s="47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27.0" customHeight="1">
      <c r="A451" s="47"/>
      <c r="B451" s="48"/>
      <c r="C451" s="47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27.0" customHeight="1">
      <c r="A452" s="47"/>
      <c r="B452" s="48"/>
      <c r="C452" s="47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27.0" customHeight="1">
      <c r="A453" s="47"/>
      <c r="B453" s="48"/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27.0" customHeight="1">
      <c r="A454" s="47"/>
      <c r="B454" s="48"/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27.0" customHeight="1">
      <c r="A455" s="47"/>
      <c r="B455" s="48"/>
      <c r="C455" s="47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27.0" customHeight="1">
      <c r="A456" s="47"/>
      <c r="B456" s="48"/>
      <c r="C456" s="47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27.0" customHeight="1">
      <c r="A457" s="47"/>
      <c r="B457" s="48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27.0" customHeight="1">
      <c r="A458" s="47"/>
      <c r="B458" s="48"/>
      <c r="C458" s="47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27.0" customHeight="1">
      <c r="A459" s="47"/>
      <c r="B459" s="48"/>
      <c r="C459" s="47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27.0" customHeight="1">
      <c r="A460" s="47"/>
      <c r="B460" s="48"/>
      <c r="C460" s="47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27.0" customHeight="1">
      <c r="A461" s="47"/>
      <c r="B461" s="48"/>
      <c r="C461" s="47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27.0" customHeight="1">
      <c r="A462" s="47"/>
      <c r="B462" s="48"/>
      <c r="C462" s="47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27.0" customHeight="1">
      <c r="A463" s="47"/>
      <c r="B463" s="48"/>
      <c r="C463" s="47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27.0" customHeight="1">
      <c r="A464" s="47"/>
      <c r="B464" s="48"/>
      <c r="C464" s="47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27.0" customHeight="1">
      <c r="A465" s="47"/>
      <c r="B465" s="48"/>
      <c r="C465" s="47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27.0" customHeight="1">
      <c r="A466" s="47"/>
      <c r="B466" s="48"/>
      <c r="C466" s="47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27.0" customHeight="1">
      <c r="A467" s="47"/>
      <c r="B467" s="48"/>
      <c r="C467" s="47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27.0" customHeight="1">
      <c r="A468" s="47"/>
      <c r="B468" s="48"/>
      <c r="C468" s="47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27.0" customHeight="1">
      <c r="A469" s="47"/>
      <c r="B469" s="48"/>
      <c r="C469" s="47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27.0" customHeight="1">
      <c r="A470" s="47"/>
      <c r="B470" s="48"/>
      <c r="C470" s="47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27.0" customHeight="1">
      <c r="A471" s="47"/>
      <c r="B471" s="48"/>
      <c r="C471" s="47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27.0" customHeight="1">
      <c r="A472" s="47"/>
      <c r="B472" s="48"/>
      <c r="C472" s="47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27.0" customHeight="1">
      <c r="A473" s="47"/>
      <c r="B473" s="48"/>
      <c r="C473" s="47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27.0" customHeight="1">
      <c r="A474" s="47"/>
      <c r="B474" s="48"/>
      <c r="C474" s="47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27.0" customHeight="1">
      <c r="A475" s="47"/>
      <c r="B475" s="48"/>
      <c r="C475" s="47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27.0" customHeight="1">
      <c r="A476" s="47"/>
      <c r="B476" s="48"/>
      <c r="C476" s="47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27.0" customHeight="1">
      <c r="A477" s="47"/>
      <c r="B477" s="48"/>
      <c r="C477" s="47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27.0" customHeight="1">
      <c r="A478" s="47"/>
      <c r="B478" s="48"/>
      <c r="C478" s="47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27.0" customHeight="1">
      <c r="A479" s="47"/>
      <c r="B479" s="48"/>
      <c r="C479" s="47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27.0" customHeight="1">
      <c r="A480" s="47"/>
      <c r="B480" s="48"/>
      <c r="C480" s="47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27.0" customHeight="1">
      <c r="A481" s="47"/>
      <c r="B481" s="48"/>
      <c r="C481" s="47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27.0" customHeight="1">
      <c r="A482" s="47"/>
      <c r="B482" s="48"/>
      <c r="C482" s="47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27.0" customHeight="1">
      <c r="A483" s="47"/>
      <c r="B483" s="48"/>
      <c r="C483" s="47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27.0" customHeight="1">
      <c r="A484" s="47"/>
      <c r="B484" s="48"/>
      <c r="C484" s="47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27.0" customHeight="1">
      <c r="A485" s="47"/>
      <c r="B485" s="48"/>
      <c r="C485" s="47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27.0" customHeight="1">
      <c r="A486" s="47"/>
      <c r="B486" s="48"/>
      <c r="C486" s="47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27.0" customHeight="1">
      <c r="A487" s="47"/>
      <c r="B487" s="48"/>
      <c r="C487" s="47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27.0" customHeight="1">
      <c r="A488" s="47"/>
      <c r="B488" s="48"/>
      <c r="C488" s="47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27.0" customHeight="1">
      <c r="A489" s="47"/>
      <c r="B489" s="48"/>
      <c r="C489" s="47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27.0" customHeight="1">
      <c r="A490" s="47"/>
      <c r="B490" s="48"/>
      <c r="C490" s="47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27.0" customHeight="1">
      <c r="A491" s="47"/>
      <c r="B491" s="48"/>
      <c r="C491" s="47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27.0" customHeight="1">
      <c r="A492" s="47"/>
      <c r="B492" s="48"/>
      <c r="C492" s="47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27.0" customHeight="1">
      <c r="A493" s="47"/>
      <c r="B493" s="48"/>
      <c r="C493" s="47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27.0" customHeight="1">
      <c r="A494" s="47"/>
      <c r="B494" s="48"/>
      <c r="C494" s="47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27.0" customHeight="1">
      <c r="A495" s="47"/>
      <c r="B495" s="48"/>
      <c r="C495" s="47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27.0" customHeight="1">
      <c r="A496" s="47"/>
      <c r="B496" s="48"/>
      <c r="C496" s="47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27.0" customHeight="1">
      <c r="A497" s="47"/>
      <c r="B497" s="48"/>
      <c r="C497" s="47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27.0" customHeight="1">
      <c r="A498" s="47"/>
      <c r="B498" s="48"/>
      <c r="C498" s="47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27.0" customHeight="1">
      <c r="A499" s="47"/>
      <c r="B499" s="48"/>
      <c r="C499" s="47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27.0" customHeight="1">
      <c r="A500" s="47"/>
      <c r="B500" s="48"/>
      <c r="C500" s="47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27.0" customHeight="1">
      <c r="A501" s="47"/>
      <c r="B501" s="48"/>
      <c r="C501" s="47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27.0" customHeight="1">
      <c r="A502" s="47"/>
      <c r="B502" s="48"/>
      <c r="C502" s="47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27.0" customHeight="1">
      <c r="A503" s="47"/>
      <c r="B503" s="48"/>
      <c r="C503" s="47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27.0" customHeight="1">
      <c r="A504" s="47"/>
      <c r="B504" s="48"/>
      <c r="C504" s="47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27.0" customHeight="1">
      <c r="A505" s="47"/>
      <c r="B505" s="48"/>
      <c r="C505" s="47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27.0" customHeight="1">
      <c r="A506" s="47"/>
      <c r="B506" s="48"/>
      <c r="C506" s="47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27.0" customHeight="1">
      <c r="A507" s="47"/>
      <c r="B507" s="48"/>
      <c r="C507" s="47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27.0" customHeight="1">
      <c r="A508" s="47"/>
      <c r="B508" s="48"/>
      <c r="C508" s="47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27.0" customHeight="1">
      <c r="A509" s="47"/>
      <c r="B509" s="48"/>
      <c r="C509" s="47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27.0" customHeight="1">
      <c r="A510" s="47"/>
      <c r="B510" s="48"/>
      <c r="C510" s="47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27.0" customHeight="1">
      <c r="A511" s="47"/>
      <c r="B511" s="48"/>
      <c r="C511" s="47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27.0" customHeight="1">
      <c r="A512" s="47"/>
      <c r="B512" s="48"/>
      <c r="C512" s="47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27.0" customHeight="1">
      <c r="A513" s="47"/>
      <c r="B513" s="48"/>
      <c r="C513" s="47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27.0" customHeight="1">
      <c r="A514" s="47"/>
      <c r="B514" s="48"/>
      <c r="C514" s="47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27.0" customHeight="1">
      <c r="A515" s="47"/>
      <c r="B515" s="48"/>
      <c r="C515" s="47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27.0" customHeight="1">
      <c r="A516" s="47"/>
      <c r="B516" s="48"/>
      <c r="C516" s="47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27.0" customHeight="1">
      <c r="A517" s="47"/>
      <c r="B517" s="48"/>
      <c r="C517" s="47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27.0" customHeight="1">
      <c r="A518" s="47"/>
      <c r="B518" s="48"/>
      <c r="C518" s="47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27.0" customHeight="1">
      <c r="A519" s="47"/>
      <c r="B519" s="48"/>
      <c r="C519" s="47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27.0" customHeight="1">
      <c r="A520" s="47"/>
      <c r="B520" s="48"/>
      <c r="C520" s="47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27.0" customHeight="1">
      <c r="A521" s="47"/>
      <c r="B521" s="48"/>
      <c r="C521" s="47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27.0" customHeight="1">
      <c r="A522" s="47"/>
      <c r="B522" s="48"/>
      <c r="C522" s="47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27.0" customHeight="1">
      <c r="A523" s="47"/>
      <c r="B523" s="48"/>
      <c r="C523" s="47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27.0" customHeight="1">
      <c r="A524" s="47"/>
      <c r="B524" s="48"/>
      <c r="C524" s="47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27.0" customHeight="1">
      <c r="A525" s="47"/>
      <c r="B525" s="48"/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27.0" customHeight="1">
      <c r="A526" s="47"/>
      <c r="B526" s="48"/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27.0" customHeight="1">
      <c r="A527" s="47"/>
      <c r="B527" s="48"/>
      <c r="C527" s="47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27.0" customHeight="1">
      <c r="A528" s="47"/>
      <c r="B528" s="48"/>
      <c r="C528" s="47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27.0" customHeight="1">
      <c r="A529" s="47"/>
      <c r="B529" s="48"/>
      <c r="C529" s="47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27.0" customHeight="1">
      <c r="A530" s="47"/>
      <c r="B530" s="48"/>
      <c r="C530" s="47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27.0" customHeight="1">
      <c r="A531" s="47"/>
      <c r="B531" s="48"/>
      <c r="C531" s="47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27.0" customHeight="1">
      <c r="A532" s="47"/>
      <c r="B532" s="48"/>
      <c r="C532" s="47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27.0" customHeight="1">
      <c r="A533" s="47"/>
      <c r="B533" s="48"/>
      <c r="C533" s="47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27.0" customHeight="1">
      <c r="A534" s="47"/>
      <c r="B534" s="48"/>
      <c r="C534" s="47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27.0" customHeight="1">
      <c r="A535" s="47"/>
      <c r="B535" s="48"/>
      <c r="C535" s="47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27.0" customHeight="1">
      <c r="A536" s="47"/>
      <c r="B536" s="48"/>
      <c r="C536" s="47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27.0" customHeight="1">
      <c r="A537" s="47"/>
      <c r="B537" s="48"/>
      <c r="C537" s="47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27.0" customHeight="1">
      <c r="A538" s="47"/>
      <c r="B538" s="48"/>
      <c r="C538" s="47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27.0" customHeight="1">
      <c r="A539" s="47"/>
      <c r="B539" s="48"/>
      <c r="C539" s="47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27.0" customHeight="1">
      <c r="A540" s="47"/>
      <c r="B540" s="48"/>
      <c r="C540" s="47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27.0" customHeight="1">
      <c r="A541" s="47"/>
      <c r="B541" s="48"/>
      <c r="C541" s="47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27.0" customHeight="1">
      <c r="A542" s="47"/>
      <c r="B542" s="48"/>
      <c r="C542" s="47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27.0" customHeight="1">
      <c r="A543" s="47"/>
      <c r="B543" s="48"/>
      <c r="C543" s="47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27.0" customHeight="1">
      <c r="A544" s="47"/>
      <c r="B544" s="48"/>
      <c r="C544" s="47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27.0" customHeight="1">
      <c r="A545" s="47"/>
      <c r="B545" s="48"/>
      <c r="C545" s="47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27.0" customHeight="1">
      <c r="A546" s="47"/>
      <c r="B546" s="48"/>
      <c r="C546" s="47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27.0" customHeight="1">
      <c r="A547" s="47"/>
      <c r="B547" s="48"/>
      <c r="C547" s="47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27.0" customHeight="1">
      <c r="A548" s="47"/>
      <c r="B548" s="48"/>
      <c r="C548" s="47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27.0" customHeight="1">
      <c r="A549" s="47"/>
      <c r="B549" s="48"/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27.0" customHeight="1">
      <c r="A550" s="47"/>
      <c r="B550" s="48"/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27.0" customHeight="1">
      <c r="A551" s="47"/>
      <c r="B551" s="48"/>
      <c r="C551" s="47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27.0" customHeight="1">
      <c r="A552" s="47"/>
      <c r="B552" s="48"/>
      <c r="C552" s="47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27.0" customHeight="1">
      <c r="A553" s="47"/>
      <c r="B553" s="48"/>
      <c r="C553" s="47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27.0" customHeight="1">
      <c r="A554" s="47"/>
      <c r="B554" s="48"/>
      <c r="C554" s="47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27.0" customHeight="1">
      <c r="A555" s="47"/>
      <c r="B555" s="48"/>
      <c r="C555" s="47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27.0" customHeight="1">
      <c r="A556" s="47"/>
      <c r="B556" s="48"/>
      <c r="C556" s="47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27.0" customHeight="1">
      <c r="A557" s="47"/>
      <c r="B557" s="48"/>
      <c r="C557" s="47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27.0" customHeight="1">
      <c r="A558" s="47"/>
      <c r="B558" s="48"/>
      <c r="C558" s="47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27.0" customHeight="1">
      <c r="A559" s="47"/>
      <c r="B559" s="48"/>
      <c r="C559" s="47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27.0" customHeight="1">
      <c r="A560" s="47"/>
      <c r="B560" s="48"/>
      <c r="C560" s="47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27.0" customHeight="1">
      <c r="A561" s="47"/>
      <c r="B561" s="48"/>
      <c r="C561" s="47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27.0" customHeight="1">
      <c r="A562" s="47"/>
      <c r="B562" s="48"/>
      <c r="C562" s="47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27.0" customHeight="1">
      <c r="A563" s="47"/>
      <c r="B563" s="48"/>
      <c r="C563" s="47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27.0" customHeight="1">
      <c r="A564" s="47"/>
      <c r="B564" s="48"/>
      <c r="C564" s="47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27.0" customHeight="1">
      <c r="A565" s="47"/>
      <c r="B565" s="48"/>
      <c r="C565" s="47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27.0" customHeight="1">
      <c r="A566" s="47"/>
      <c r="B566" s="48"/>
      <c r="C566" s="47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27.0" customHeight="1">
      <c r="A567" s="47"/>
      <c r="B567" s="48"/>
      <c r="C567" s="47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27.0" customHeight="1">
      <c r="A568" s="47"/>
      <c r="B568" s="48"/>
      <c r="C568" s="47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27.0" customHeight="1">
      <c r="A569" s="47"/>
      <c r="B569" s="48"/>
      <c r="C569" s="47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27.0" customHeight="1">
      <c r="A570" s="47"/>
      <c r="B570" s="48"/>
      <c r="C570" s="47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27.0" customHeight="1">
      <c r="A571" s="47"/>
      <c r="B571" s="48"/>
      <c r="C571" s="47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27.0" customHeight="1">
      <c r="A572" s="47"/>
      <c r="B572" s="48"/>
      <c r="C572" s="47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27.0" customHeight="1">
      <c r="A573" s="47"/>
      <c r="B573" s="48"/>
      <c r="C573" s="47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27.0" customHeight="1">
      <c r="A574" s="47"/>
      <c r="B574" s="48"/>
      <c r="C574" s="47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27.0" customHeight="1">
      <c r="A575" s="47"/>
      <c r="B575" s="48"/>
      <c r="C575" s="47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27.0" customHeight="1">
      <c r="A576" s="47"/>
      <c r="B576" s="48"/>
      <c r="C576" s="47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27.0" customHeight="1">
      <c r="A577" s="47"/>
      <c r="B577" s="48"/>
      <c r="C577" s="47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27.0" customHeight="1">
      <c r="A578" s="47"/>
      <c r="B578" s="48"/>
      <c r="C578" s="47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27.0" customHeight="1">
      <c r="A579" s="47"/>
      <c r="B579" s="48"/>
      <c r="C579" s="47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27.0" customHeight="1">
      <c r="A580" s="47"/>
      <c r="B580" s="48"/>
      <c r="C580" s="47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27.0" customHeight="1">
      <c r="A581" s="47"/>
      <c r="B581" s="48"/>
      <c r="C581" s="47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27.0" customHeight="1">
      <c r="A582" s="47"/>
      <c r="B582" s="48"/>
      <c r="C582" s="47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27.0" customHeight="1">
      <c r="A583" s="47"/>
      <c r="B583" s="48"/>
      <c r="C583" s="47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27.0" customHeight="1">
      <c r="A584" s="47"/>
      <c r="B584" s="48"/>
      <c r="C584" s="47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27.0" customHeight="1">
      <c r="A585" s="47"/>
      <c r="B585" s="48"/>
      <c r="C585" s="47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27.0" customHeight="1">
      <c r="A586" s="47"/>
      <c r="B586" s="48"/>
      <c r="C586" s="47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27.0" customHeight="1">
      <c r="A587" s="47"/>
      <c r="B587" s="48"/>
      <c r="C587" s="47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27.0" customHeight="1">
      <c r="A588" s="47"/>
      <c r="B588" s="48"/>
      <c r="C588" s="47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27.0" customHeight="1">
      <c r="A589" s="47"/>
      <c r="B589" s="48"/>
      <c r="C589" s="47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27.0" customHeight="1">
      <c r="A590" s="47"/>
      <c r="B590" s="48"/>
      <c r="C590" s="47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27.0" customHeight="1">
      <c r="A591" s="47"/>
      <c r="B591" s="48"/>
      <c r="C591" s="47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27.0" customHeight="1">
      <c r="A592" s="47"/>
      <c r="B592" s="48"/>
      <c r="C592" s="47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27.0" customHeight="1">
      <c r="A593" s="47"/>
      <c r="B593" s="48"/>
      <c r="C593" s="47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27.0" customHeight="1">
      <c r="A594" s="47"/>
      <c r="B594" s="48"/>
      <c r="C594" s="47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27.0" customHeight="1">
      <c r="A595" s="47"/>
      <c r="B595" s="48"/>
      <c r="C595" s="47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27.0" customHeight="1">
      <c r="A596" s="47"/>
      <c r="B596" s="48"/>
      <c r="C596" s="47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27.0" customHeight="1">
      <c r="A597" s="47"/>
      <c r="B597" s="48"/>
      <c r="C597" s="47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27.0" customHeight="1">
      <c r="A598" s="47"/>
      <c r="B598" s="48"/>
      <c r="C598" s="47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27.0" customHeight="1">
      <c r="A599" s="47"/>
      <c r="B599" s="48"/>
      <c r="C599" s="47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27.0" customHeight="1">
      <c r="A600" s="47"/>
      <c r="B600" s="48"/>
      <c r="C600" s="47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27.0" customHeight="1">
      <c r="A601" s="47"/>
      <c r="B601" s="48"/>
      <c r="C601" s="47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27.0" customHeight="1">
      <c r="A602" s="47"/>
      <c r="B602" s="48"/>
      <c r="C602" s="47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27.0" customHeight="1">
      <c r="A603" s="47"/>
      <c r="B603" s="48"/>
      <c r="C603" s="47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27.0" customHeight="1">
      <c r="A604" s="47"/>
      <c r="B604" s="48"/>
      <c r="C604" s="47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27.0" customHeight="1">
      <c r="A605" s="47"/>
      <c r="B605" s="48"/>
      <c r="C605" s="47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27.0" customHeight="1">
      <c r="A606" s="47"/>
      <c r="B606" s="48"/>
      <c r="C606" s="47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27.0" customHeight="1">
      <c r="A607" s="47"/>
      <c r="B607" s="48"/>
      <c r="C607" s="47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27.0" customHeight="1">
      <c r="A608" s="47"/>
      <c r="B608" s="48"/>
      <c r="C608" s="47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27.0" customHeight="1">
      <c r="A609" s="47"/>
      <c r="B609" s="48"/>
      <c r="C609" s="47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27.0" customHeight="1">
      <c r="A610" s="47"/>
      <c r="B610" s="48"/>
      <c r="C610" s="47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27.0" customHeight="1">
      <c r="A611" s="47"/>
      <c r="B611" s="48"/>
      <c r="C611" s="47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27.0" customHeight="1">
      <c r="A612" s="47"/>
      <c r="B612" s="48"/>
      <c r="C612" s="47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27.0" customHeight="1">
      <c r="A613" s="47"/>
      <c r="B613" s="48"/>
      <c r="C613" s="47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27.0" customHeight="1">
      <c r="A614" s="47"/>
      <c r="B614" s="48"/>
      <c r="C614" s="47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27.0" customHeight="1">
      <c r="A615" s="47"/>
      <c r="B615" s="48"/>
      <c r="C615" s="47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27.0" customHeight="1">
      <c r="A616" s="47"/>
      <c r="B616" s="48"/>
      <c r="C616" s="47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27.0" customHeight="1">
      <c r="A617" s="47"/>
      <c r="B617" s="48"/>
      <c r="C617" s="47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27.0" customHeight="1">
      <c r="A618" s="47"/>
      <c r="B618" s="48"/>
      <c r="C618" s="47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27.0" customHeight="1">
      <c r="A619" s="47"/>
      <c r="B619" s="48"/>
      <c r="C619" s="47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27.0" customHeight="1">
      <c r="A620" s="47"/>
      <c r="B620" s="48"/>
      <c r="C620" s="47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27.0" customHeight="1">
      <c r="A621" s="47"/>
      <c r="B621" s="48"/>
      <c r="C621" s="47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27.0" customHeight="1">
      <c r="A622" s="47"/>
      <c r="B622" s="48"/>
      <c r="C622" s="47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27.0" customHeight="1">
      <c r="A623" s="47"/>
      <c r="B623" s="48"/>
      <c r="C623" s="47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27.0" customHeight="1">
      <c r="A624" s="47"/>
      <c r="B624" s="48"/>
      <c r="C624" s="47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27.0" customHeight="1">
      <c r="A625" s="47"/>
      <c r="B625" s="48"/>
      <c r="C625" s="47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27.0" customHeight="1">
      <c r="A626" s="47"/>
      <c r="B626" s="48"/>
      <c r="C626" s="47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27.0" customHeight="1">
      <c r="A627" s="47"/>
      <c r="B627" s="48"/>
      <c r="C627" s="47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27.0" customHeight="1">
      <c r="A628" s="47"/>
      <c r="B628" s="48"/>
      <c r="C628" s="47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27.0" customHeight="1">
      <c r="A629" s="47"/>
      <c r="B629" s="48"/>
      <c r="C629" s="47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27.0" customHeight="1">
      <c r="A630" s="47"/>
      <c r="B630" s="48"/>
      <c r="C630" s="47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27.0" customHeight="1">
      <c r="A631" s="47"/>
      <c r="B631" s="48"/>
      <c r="C631" s="47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27.0" customHeight="1">
      <c r="A632" s="47"/>
      <c r="B632" s="48"/>
      <c r="C632" s="47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27.0" customHeight="1">
      <c r="A633" s="47"/>
      <c r="B633" s="48"/>
      <c r="C633" s="47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27.0" customHeight="1">
      <c r="A634" s="47"/>
      <c r="B634" s="48"/>
      <c r="C634" s="47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27.0" customHeight="1">
      <c r="A635" s="47"/>
      <c r="B635" s="48"/>
      <c r="C635" s="47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27.0" customHeight="1">
      <c r="A636" s="47"/>
      <c r="B636" s="48"/>
      <c r="C636" s="47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27.0" customHeight="1">
      <c r="A637" s="47"/>
      <c r="B637" s="48"/>
      <c r="C637" s="47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27.0" customHeight="1">
      <c r="A638" s="47"/>
      <c r="B638" s="48"/>
      <c r="C638" s="47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27.0" customHeight="1">
      <c r="A639" s="47"/>
      <c r="B639" s="48"/>
      <c r="C639" s="47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27.0" customHeight="1">
      <c r="A640" s="47"/>
      <c r="B640" s="48"/>
      <c r="C640" s="47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27.0" customHeight="1">
      <c r="A641" s="47"/>
      <c r="B641" s="48"/>
      <c r="C641" s="47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27.0" customHeight="1">
      <c r="A642" s="47"/>
      <c r="B642" s="48"/>
      <c r="C642" s="47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27.0" customHeight="1">
      <c r="A643" s="47"/>
      <c r="B643" s="48"/>
      <c r="C643" s="47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27.0" customHeight="1">
      <c r="A644" s="47"/>
      <c r="B644" s="48"/>
      <c r="C644" s="47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27.0" customHeight="1">
      <c r="A645" s="47"/>
      <c r="B645" s="48"/>
      <c r="C645" s="47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27.0" customHeight="1">
      <c r="A646" s="47"/>
      <c r="B646" s="48"/>
      <c r="C646" s="47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27.0" customHeight="1">
      <c r="A647" s="47"/>
      <c r="B647" s="48"/>
      <c r="C647" s="47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27.0" customHeight="1">
      <c r="A648" s="47"/>
      <c r="B648" s="48"/>
      <c r="C648" s="47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27.0" customHeight="1">
      <c r="A649" s="47"/>
      <c r="B649" s="48"/>
      <c r="C649" s="47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27.0" customHeight="1">
      <c r="A650" s="47"/>
      <c r="B650" s="48"/>
      <c r="C650" s="47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27.0" customHeight="1">
      <c r="A651" s="47"/>
      <c r="B651" s="48"/>
      <c r="C651" s="47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27.0" customHeight="1">
      <c r="A652" s="47"/>
      <c r="B652" s="48"/>
      <c r="C652" s="47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27.0" customHeight="1">
      <c r="A653" s="47"/>
      <c r="B653" s="48"/>
      <c r="C653" s="47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27.0" customHeight="1">
      <c r="A654" s="47"/>
      <c r="B654" s="48"/>
      <c r="C654" s="47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27.0" customHeight="1">
      <c r="A655" s="47"/>
      <c r="B655" s="48"/>
      <c r="C655" s="47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27.0" customHeight="1">
      <c r="A656" s="47"/>
      <c r="B656" s="48"/>
      <c r="C656" s="47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27.0" customHeight="1">
      <c r="A657" s="47"/>
      <c r="B657" s="48"/>
      <c r="C657" s="47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27.0" customHeight="1">
      <c r="A658" s="47"/>
      <c r="B658" s="48"/>
      <c r="C658" s="47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27.0" customHeight="1">
      <c r="A659" s="47"/>
      <c r="B659" s="48"/>
      <c r="C659" s="47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27.0" customHeight="1">
      <c r="A660" s="47"/>
      <c r="B660" s="48"/>
      <c r="C660" s="47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27.0" customHeight="1">
      <c r="A661" s="47"/>
      <c r="B661" s="48"/>
      <c r="C661" s="47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27.0" customHeight="1">
      <c r="A662" s="47"/>
      <c r="B662" s="48"/>
      <c r="C662" s="47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27.0" customHeight="1">
      <c r="A663" s="47"/>
      <c r="B663" s="48"/>
      <c r="C663" s="47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27.0" customHeight="1">
      <c r="A664" s="47"/>
      <c r="B664" s="48"/>
      <c r="C664" s="47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27.0" customHeight="1">
      <c r="A665" s="47"/>
      <c r="B665" s="48"/>
      <c r="C665" s="47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27.0" customHeight="1">
      <c r="A666" s="47"/>
      <c r="B666" s="48"/>
      <c r="C666" s="47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27.0" customHeight="1">
      <c r="A667" s="47"/>
      <c r="B667" s="48"/>
      <c r="C667" s="47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27.0" customHeight="1">
      <c r="A668" s="47"/>
      <c r="B668" s="48"/>
      <c r="C668" s="47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27.0" customHeight="1">
      <c r="A669" s="47"/>
      <c r="B669" s="48"/>
      <c r="C669" s="47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27.0" customHeight="1">
      <c r="A670" s="47"/>
      <c r="B670" s="48"/>
      <c r="C670" s="47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27.0" customHeight="1">
      <c r="A671" s="47"/>
      <c r="B671" s="48"/>
      <c r="C671" s="47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27.0" customHeight="1">
      <c r="A672" s="47"/>
      <c r="B672" s="48"/>
      <c r="C672" s="47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27.0" customHeight="1">
      <c r="A673" s="47"/>
      <c r="B673" s="48"/>
      <c r="C673" s="47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27.0" customHeight="1">
      <c r="A674" s="47"/>
      <c r="B674" s="48"/>
      <c r="C674" s="47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27.0" customHeight="1">
      <c r="A675" s="47"/>
      <c r="B675" s="48"/>
      <c r="C675" s="47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27.0" customHeight="1">
      <c r="A676" s="47"/>
      <c r="B676" s="48"/>
      <c r="C676" s="47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27.0" customHeight="1">
      <c r="A677" s="47"/>
      <c r="B677" s="48"/>
      <c r="C677" s="47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27.0" customHeight="1">
      <c r="A678" s="47"/>
      <c r="B678" s="48"/>
      <c r="C678" s="47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27.0" customHeight="1">
      <c r="A679" s="47"/>
      <c r="B679" s="48"/>
      <c r="C679" s="47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27.0" customHeight="1">
      <c r="A680" s="47"/>
      <c r="B680" s="48"/>
      <c r="C680" s="47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27.0" customHeight="1">
      <c r="A681" s="47"/>
      <c r="B681" s="48"/>
      <c r="C681" s="47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27.0" customHeight="1">
      <c r="A682" s="47"/>
      <c r="B682" s="48"/>
      <c r="C682" s="47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27.0" customHeight="1">
      <c r="A683" s="47"/>
      <c r="B683" s="48"/>
      <c r="C683" s="47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27.0" customHeight="1">
      <c r="A684" s="47"/>
      <c r="B684" s="48"/>
      <c r="C684" s="47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27.0" customHeight="1">
      <c r="A685" s="47"/>
      <c r="B685" s="48"/>
      <c r="C685" s="47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27.0" customHeight="1">
      <c r="A686" s="47"/>
      <c r="B686" s="48"/>
      <c r="C686" s="47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27.0" customHeight="1">
      <c r="A687" s="47"/>
      <c r="B687" s="48"/>
      <c r="C687" s="47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27.0" customHeight="1">
      <c r="A688" s="47"/>
      <c r="B688" s="48"/>
      <c r="C688" s="47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27.0" customHeight="1">
      <c r="A689" s="47"/>
      <c r="B689" s="48"/>
      <c r="C689" s="47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27.0" customHeight="1">
      <c r="A690" s="47"/>
      <c r="B690" s="48"/>
      <c r="C690" s="47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27.0" customHeight="1">
      <c r="A691" s="47"/>
      <c r="B691" s="48"/>
      <c r="C691" s="47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27.0" customHeight="1">
      <c r="A692" s="47"/>
      <c r="B692" s="48"/>
      <c r="C692" s="47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27.0" customHeight="1">
      <c r="A693" s="47"/>
      <c r="B693" s="48"/>
      <c r="C693" s="47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27.0" customHeight="1">
      <c r="A694" s="47"/>
      <c r="B694" s="48"/>
      <c r="C694" s="47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27.0" customHeight="1">
      <c r="A695" s="47"/>
      <c r="B695" s="48"/>
      <c r="C695" s="47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27.0" customHeight="1">
      <c r="A696" s="47"/>
      <c r="B696" s="48"/>
      <c r="C696" s="47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27.0" customHeight="1">
      <c r="A697" s="47"/>
      <c r="B697" s="48"/>
      <c r="C697" s="47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27.0" customHeight="1">
      <c r="A698" s="47"/>
      <c r="B698" s="48"/>
      <c r="C698" s="47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27.0" customHeight="1">
      <c r="A699" s="47"/>
      <c r="B699" s="48"/>
      <c r="C699" s="47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27.0" customHeight="1">
      <c r="A700" s="47"/>
      <c r="B700" s="48"/>
      <c r="C700" s="47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27.0" customHeight="1">
      <c r="A701" s="47"/>
      <c r="B701" s="48"/>
      <c r="C701" s="47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27.0" customHeight="1">
      <c r="A702" s="47"/>
      <c r="B702" s="48"/>
      <c r="C702" s="47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27.0" customHeight="1">
      <c r="A703" s="47"/>
      <c r="B703" s="48"/>
      <c r="C703" s="47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27.0" customHeight="1">
      <c r="A704" s="47"/>
      <c r="B704" s="48"/>
      <c r="C704" s="47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27.0" customHeight="1">
      <c r="A705" s="47"/>
      <c r="B705" s="48"/>
      <c r="C705" s="47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27.0" customHeight="1">
      <c r="A706" s="47"/>
      <c r="B706" s="48"/>
      <c r="C706" s="47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27.0" customHeight="1">
      <c r="A707" s="47"/>
      <c r="B707" s="48"/>
      <c r="C707" s="47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27.0" customHeight="1">
      <c r="A708" s="47"/>
      <c r="B708" s="48"/>
      <c r="C708" s="47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27.0" customHeight="1">
      <c r="A709" s="47"/>
      <c r="B709" s="48"/>
      <c r="C709" s="47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27.0" customHeight="1">
      <c r="A710" s="47"/>
      <c r="B710" s="48"/>
      <c r="C710" s="47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27.0" customHeight="1">
      <c r="A711" s="47"/>
      <c r="B711" s="48"/>
      <c r="C711" s="47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27.0" customHeight="1">
      <c r="A712" s="47"/>
      <c r="B712" s="48"/>
      <c r="C712" s="47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27.0" customHeight="1">
      <c r="A713" s="47"/>
      <c r="B713" s="48"/>
      <c r="C713" s="47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27.0" customHeight="1">
      <c r="A714" s="47"/>
      <c r="B714" s="48"/>
      <c r="C714" s="47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27.0" customHeight="1">
      <c r="A715" s="47"/>
      <c r="B715" s="48"/>
      <c r="C715" s="47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27.0" customHeight="1">
      <c r="A716" s="47"/>
      <c r="B716" s="48"/>
      <c r="C716" s="47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27.0" customHeight="1">
      <c r="A717" s="47"/>
      <c r="B717" s="48"/>
      <c r="C717" s="47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27.0" customHeight="1">
      <c r="A718" s="47"/>
      <c r="B718" s="48"/>
      <c r="C718" s="47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27.0" customHeight="1">
      <c r="A719" s="47"/>
      <c r="B719" s="48"/>
      <c r="C719" s="47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27.0" customHeight="1">
      <c r="A720" s="47"/>
      <c r="B720" s="48"/>
      <c r="C720" s="47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27.0" customHeight="1">
      <c r="A721" s="47"/>
      <c r="B721" s="48"/>
      <c r="C721" s="47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27.0" customHeight="1">
      <c r="A722" s="47"/>
      <c r="B722" s="48"/>
      <c r="C722" s="47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27.0" customHeight="1">
      <c r="A723" s="47"/>
      <c r="B723" s="48"/>
      <c r="C723" s="47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27.0" customHeight="1">
      <c r="A724" s="47"/>
      <c r="B724" s="48"/>
      <c r="C724" s="47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27.0" customHeight="1">
      <c r="A725" s="47"/>
      <c r="B725" s="48"/>
      <c r="C725" s="47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27.0" customHeight="1">
      <c r="A726" s="47"/>
      <c r="B726" s="48"/>
      <c r="C726" s="47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27.0" customHeight="1">
      <c r="A727" s="47"/>
      <c r="B727" s="48"/>
      <c r="C727" s="47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27.0" customHeight="1">
      <c r="A728" s="47"/>
      <c r="B728" s="48"/>
      <c r="C728" s="47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27.0" customHeight="1">
      <c r="A729" s="47"/>
      <c r="B729" s="48"/>
      <c r="C729" s="47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27.0" customHeight="1">
      <c r="A730" s="47"/>
      <c r="B730" s="48"/>
      <c r="C730" s="47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27.0" customHeight="1">
      <c r="A731" s="47"/>
      <c r="B731" s="48"/>
      <c r="C731" s="47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27.0" customHeight="1">
      <c r="A732" s="47"/>
      <c r="B732" s="48"/>
      <c r="C732" s="47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27.0" customHeight="1">
      <c r="A733" s="47"/>
      <c r="B733" s="48"/>
      <c r="C733" s="47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27.0" customHeight="1">
      <c r="A734" s="47"/>
      <c r="B734" s="48"/>
      <c r="C734" s="47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27.0" customHeight="1">
      <c r="A735" s="47"/>
      <c r="B735" s="48"/>
      <c r="C735" s="47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27.0" customHeight="1">
      <c r="A736" s="47"/>
      <c r="B736" s="48"/>
      <c r="C736" s="47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27.0" customHeight="1">
      <c r="A737" s="47"/>
      <c r="B737" s="48"/>
      <c r="C737" s="47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27.0" customHeight="1">
      <c r="A738" s="47"/>
      <c r="B738" s="48"/>
      <c r="C738" s="47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27.0" customHeight="1">
      <c r="A739" s="47"/>
      <c r="B739" s="48"/>
      <c r="C739" s="47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27.0" customHeight="1">
      <c r="A740" s="47"/>
      <c r="B740" s="48"/>
      <c r="C740" s="47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27.0" customHeight="1">
      <c r="A741" s="47"/>
      <c r="B741" s="48"/>
      <c r="C741" s="47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27.0" customHeight="1">
      <c r="A742" s="47"/>
      <c r="B742" s="48"/>
      <c r="C742" s="47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27.0" customHeight="1">
      <c r="A743" s="47"/>
      <c r="B743" s="48"/>
      <c r="C743" s="47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27.0" customHeight="1">
      <c r="A744" s="47"/>
      <c r="B744" s="48"/>
      <c r="C744" s="47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27.0" customHeight="1">
      <c r="A745" s="47"/>
      <c r="B745" s="48"/>
      <c r="C745" s="47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27.0" customHeight="1">
      <c r="A746" s="47"/>
      <c r="B746" s="48"/>
      <c r="C746" s="47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27.0" customHeight="1">
      <c r="A747" s="47"/>
      <c r="B747" s="48"/>
      <c r="C747" s="47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27.0" customHeight="1">
      <c r="A748" s="47"/>
      <c r="B748" s="48"/>
      <c r="C748" s="47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27.0" customHeight="1">
      <c r="A749" s="47"/>
      <c r="B749" s="48"/>
      <c r="C749" s="47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27.0" customHeight="1">
      <c r="A750" s="47"/>
      <c r="B750" s="48"/>
      <c r="C750" s="47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27.0" customHeight="1">
      <c r="A751" s="47"/>
      <c r="B751" s="48"/>
      <c r="C751" s="47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27.0" customHeight="1">
      <c r="A752" s="47"/>
      <c r="B752" s="48"/>
      <c r="C752" s="47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27.0" customHeight="1">
      <c r="A753" s="47"/>
      <c r="B753" s="48"/>
      <c r="C753" s="47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27.0" customHeight="1">
      <c r="A754" s="47"/>
      <c r="B754" s="48"/>
      <c r="C754" s="47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27.0" customHeight="1">
      <c r="A755" s="47"/>
      <c r="B755" s="48"/>
      <c r="C755" s="47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27.0" customHeight="1">
      <c r="A756" s="47"/>
      <c r="B756" s="48"/>
      <c r="C756" s="47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27.0" customHeight="1">
      <c r="A757" s="47"/>
      <c r="B757" s="48"/>
      <c r="C757" s="47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27.0" customHeight="1">
      <c r="A758" s="47"/>
      <c r="B758" s="48"/>
      <c r="C758" s="47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27.0" customHeight="1">
      <c r="A759" s="47"/>
      <c r="B759" s="48"/>
      <c r="C759" s="47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27.0" customHeight="1">
      <c r="A760" s="47"/>
      <c r="B760" s="48"/>
      <c r="C760" s="47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27.0" customHeight="1">
      <c r="A761" s="47"/>
      <c r="B761" s="48"/>
      <c r="C761" s="47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27.0" customHeight="1">
      <c r="A762" s="47"/>
      <c r="B762" s="48"/>
      <c r="C762" s="47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27.0" customHeight="1">
      <c r="A763" s="47"/>
      <c r="B763" s="48"/>
      <c r="C763" s="47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27.0" customHeight="1">
      <c r="A764" s="47"/>
      <c r="B764" s="48"/>
      <c r="C764" s="47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27.0" customHeight="1">
      <c r="A765" s="47"/>
      <c r="B765" s="48"/>
      <c r="C765" s="47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27.0" customHeight="1">
      <c r="A766" s="47"/>
      <c r="B766" s="48"/>
      <c r="C766" s="47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27.0" customHeight="1">
      <c r="A767" s="47"/>
      <c r="B767" s="48"/>
      <c r="C767" s="47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27.0" customHeight="1">
      <c r="A768" s="47"/>
      <c r="B768" s="48"/>
      <c r="C768" s="47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27.0" customHeight="1">
      <c r="A769" s="47"/>
      <c r="B769" s="48"/>
      <c r="C769" s="47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27.0" customHeight="1">
      <c r="A770" s="47"/>
      <c r="B770" s="48"/>
      <c r="C770" s="47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27.0" customHeight="1">
      <c r="A771" s="47"/>
      <c r="B771" s="48"/>
      <c r="C771" s="47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27.0" customHeight="1">
      <c r="A772" s="47"/>
      <c r="B772" s="48"/>
      <c r="C772" s="47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27.0" customHeight="1">
      <c r="A773" s="47"/>
      <c r="B773" s="48"/>
      <c r="C773" s="47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27.0" customHeight="1">
      <c r="A774" s="47"/>
      <c r="B774" s="48"/>
      <c r="C774" s="47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27.0" customHeight="1">
      <c r="A775" s="47"/>
      <c r="B775" s="48"/>
      <c r="C775" s="47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27.0" customHeight="1">
      <c r="A776" s="47"/>
      <c r="B776" s="48"/>
      <c r="C776" s="47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27.0" customHeight="1">
      <c r="A777" s="47"/>
      <c r="B777" s="48"/>
      <c r="C777" s="47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27.0" customHeight="1">
      <c r="A778" s="47"/>
      <c r="B778" s="48"/>
      <c r="C778" s="47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27.0" customHeight="1">
      <c r="A779" s="47"/>
      <c r="B779" s="48"/>
      <c r="C779" s="47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27.0" customHeight="1">
      <c r="A780" s="47"/>
      <c r="B780" s="48"/>
      <c r="C780" s="47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27.0" customHeight="1">
      <c r="A781" s="47"/>
      <c r="B781" s="48"/>
      <c r="C781" s="47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27.0" customHeight="1">
      <c r="A782" s="47"/>
      <c r="B782" s="48"/>
      <c r="C782" s="47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27.0" customHeight="1">
      <c r="A783" s="47"/>
      <c r="B783" s="48"/>
      <c r="C783" s="47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27.0" customHeight="1">
      <c r="A784" s="47"/>
      <c r="B784" s="48"/>
      <c r="C784" s="47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27.0" customHeight="1">
      <c r="A785" s="47"/>
      <c r="B785" s="48"/>
      <c r="C785" s="47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27.0" customHeight="1">
      <c r="A786" s="47"/>
      <c r="B786" s="48"/>
      <c r="C786" s="47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27.0" customHeight="1">
      <c r="A787" s="47"/>
      <c r="B787" s="48"/>
      <c r="C787" s="47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27.0" customHeight="1">
      <c r="A788" s="47"/>
      <c r="B788" s="48"/>
      <c r="C788" s="47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27.0" customHeight="1">
      <c r="A789" s="47"/>
      <c r="B789" s="48"/>
      <c r="C789" s="47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27.0" customHeight="1">
      <c r="A790" s="47"/>
      <c r="B790" s="48"/>
      <c r="C790" s="47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27.0" customHeight="1">
      <c r="A791" s="47"/>
      <c r="B791" s="48"/>
      <c r="C791" s="47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27.0" customHeight="1">
      <c r="A792" s="47"/>
      <c r="B792" s="48"/>
      <c r="C792" s="47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27.0" customHeight="1">
      <c r="A793" s="47"/>
      <c r="B793" s="48"/>
      <c r="C793" s="47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27.0" customHeight="1">
      <c r="A794" s="47"/>
      <c r="B794" s="48"/>
      <c r="C794" s="47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27.0" customHeight="1">
      <c r="A795" s="47"/>
      <c r="B795" s="48"/>
      <c r="C795" s="47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27.0" customHeight="1">
      <c r="A796" s="47"/>
      <c r="B796" s="48"/>
      <c r="C796" s="47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27.0" customHeight="1">
      <c r="A797" s="47"/>
      <c r="B797" s="48"/>
      <c r="C797" s="47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27.0" customHeight="1">
      <c r="A798" s="47"/>
      <c r="B798" s="48"/>
      <c r="C798" s="47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27.0" customHeight="1">
      <c r="A799" s="47"/>
      <c r="B799" s="48"/>
      <c r="C799" s="47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27.0" customHeight="1">
      <c r="A800" s="47"/>
      <c r="B800" s="48"/>
      <c r="C800" s="47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27.0" customHeight="1">
      <c r="A801" s="47"/>
      <c r="B801" s="48"/>
      <c r="C801" s="47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27.0" customHeight="1">
      <c r="A802" s="47"/>
      <c r="B802" s="48"/>
      <c r="C802" s="47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27.0" customHeight="1">
      <c r="A803" s="47"/>
      <c r="B803" s="48"/>
      <c r="C803" s="47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27.0" customHeight="1">
      <c r="A804" s="47"/>
      <c r="B804" s="48"/>
      <c r="C804" s="47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27.0" customHeight="1">
      <c r="A805" s="47"/>
      <c r="B805" s="48"/>
      <c r="C805" s="47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27.0" customHeight="1">
      <c r="A806" s="47"/>
      <c r="B806" s="48"/>
      <c r="C806" s="47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27.0" customHeight="1">
      <c r="A807" s="47"/>
      <c r="B807" s="48"/>
      <c r="C807" s="47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27.0" customHeight="1">
      <c r="A808" s="47"/>
      <c r="B808" s="48"/>
      <c r="C808" s="47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27.0" customHeight="1">
      <c r="A809" s="47"/>
      <c r="B809" s="48"/>
      <c r="C809" s="47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27.0" customHeight="1">
      <c r="A810" s="47"/>
      <c r="B810" s="48"/>
      <c r="C810" s="47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27.0" customHeight="1">
      <c r="A811" s="47"/>
      <c r="B811" s="48"/>
      <c r="C811" s="47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27.0" customHeight="1">
      <c r="A812" s="47"/>
      <c r="B812" s="48"/>
      <c r="C812" s="47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27.0" customHeight="1">
      <c r="A813" s="47"/>
      <c r="B813" s="48"/>
      <c r="C813" s="47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27.0" customHeight="1">
      <c r="A814" s="47"/>
      <c r="B814" s="48"/>
      <c r="C814" s="47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27.0" customHeight="1">
      <c r="A815" s="47"/>
      <c r="B815" s="48"/>
      <c r="C815" s="47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27.0" customHeight="1">
      <c r="A816" s="47"/>
      <c r="B816" s="48"/>
      <c r="C816" s="47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27.0" customHeight="1">
      <c r="A817" s="47"/>
      <c r="B817" s="48"/>
      <c r="C817" s="47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27.0" customHeight="1">
      <c r="A818" s="47"/>
      <c r="B818" s="48"/>
      <c r="C818" s="47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27.0" customHeight="1">
      <c r="A819" s="47"/>
      <c r="B819" s="48"/>
      <c r="C819" s="47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27.0" customHeight="1">
      <c r="A820" s="47"/>
      <c r="B820" s="48"/>
      <c r="C820" s="47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27.0" customHeight="1">
      <c r="A821" s="47"/>
      <c r="B821" s="48"/>
      <c r="C821" s="47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27.0" customHeight="1">
      <c r="A822" s="47"/>
      <c r="B822" s="48"/>
      <c r="C822" s="47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27.0" customHeight="1">
      <c r="A823" s="47"/>
      <c r="B823" s="48"/>
      <c r="C823" s="47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27.0" customHeight="1">
      <c r="A824" s="47"/>
      <c r="B824" s="48"/>
      <c r="C824" s="47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27.0" customHeight="1">
      <c r="A825" s="47"/>
      <c r="B825" s="48"/>
      <c r="C825" s="47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27.0" customHeight="1">
      <c r="A826" s="47"/>
      <c r="B826" s="48"/>
      <c r="C826" s="47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27.0" customHeight="1">
      <c r="A827" s="47"/>
      <c r="B827" s="48"/>
      <c r="C827" s="47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27.0" customHeight="1">
      <c r="A828" s="47"/>
      <c r="B828" s="48"/>
      <c r="C828" s="47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27.0" customHeight="1">
      <c r="A829" s="47"/>
      <c r="B829" s="48"/>
      <c r="C829" s="47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27.0" customHeight="1">
      <c r="A830" s="47"/>
      <c r="B830" s="48"/>
      <c r="C830" s="47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27.0" customHeight="1">
      <c r="A831" s="47"/>
      <c r="B831" s="48"/>
      <c r="C831" s="47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27.0" customHeight="1">
      <c r="A832" s="47"/>
      <c r="B832" s="48"/>
      <c r="C832" s="47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27.0" customHeight="1">
      <c r="A833" s="47"/>
      <c r="B833" s="48"/>
      <c r="C833" s="47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27.0" customHeight="1">
      <c r="A834" s="47"/>
      <c r="B834" s="48"/>
      <c r="C834" s="47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27.0" customHeight="1">
      <c r="A835" s="47"/>
      <c r="B835" s="48"/>
      <c r="C835" s="47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27.0" customHeight="1">
      <c r="A836" s="47"/>
      <c r="B836" s="48"/>
      <c r="C836" s="47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27.0" customHeight="1">
      <c r="A837" s="47"/>
      <c r="B837" s="48"/>
      <c r="C837" s="47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27.0" customHeight="1">
      <c r="A838" s="47"/>
      <c r="B838" s="48"/>
      <c r="C838" s="47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27.0" customHeight="1">
      <c r="A839" s="47"/>
      <c r="B839" s="48"/>
      <c r="C839" s="47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27.0" customHeight="1">
      <c r="A840" s="47"/>
      <c r="B840" s="48"/>
      <c r="C840" s="47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27.0" customHeight="1">
      <c r="A841" s="47"/>
      <c r="B841" s="48"/>
      <c r="C841" s="47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27.0" customHeight="1">
      <c r="A842" s="47"/>
      <c r="B842" s="48"/>
      <c r="C842" s="47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27.0" customHeight="1">
      <c r="A843" s="47"/>
      <c r="B843" s="48"/>
      <c r="C843" s="47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27.0" customHeight="1">
      <c r="A844" s="47"/>
      <c r="B844" s="48"/>
      <c r="C844" s="47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27.0" customHeight="1">
      <c r="A845" s="47"/>
      <c r="B845" s="48"/>
      <c r="C845" s="47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27.0" customHeight="1">
      <c r="A846" s="47"/>
      <c r="B846" s="48"/>
      <c r="C846" s="47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27.0" customHeight="1">
      <c r="A847" s="47"/>
      <c r="B847" s="48"/>
      <c r="C847" s="47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27.0" customHeight="1">
      <c r="A848" s="47"/>
      <c r="B848" s="48"/>
      <c r="C848" s="47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27.0" customHeight="1">
      <c r="A849" s="47"/>
      <c r="B849" s="48"/>
      <c r="C849" s="47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27.0" customHeight="1">
      <c r="A850" s="47"/>
      <c r="B850" s="48"/>
      <c r="C850" s="47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27.0" customHeight="1">
      <c r="A851" s="47"/>
      <c r="B851" s="48"/>
      <c r="C851" s="47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27.0" customHeight="1">
      <c r="A852" s="47"/>
      <c r="B852" s="48"/>
      <c r="C852" s="47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27.0" customHeight="1">
      <c r="A853" s="47"/>
      <c r="B853" s="48"/>
      <c r="C853" s="47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27.0" customHeight="1">
      <c r="A854" s="47"/>
      <c r="B854" s="48"/>
      <c r="C854" s="47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27.0" customHeight="1">
      <c r="A855" s="47"/>
      <c r="B855" s="48"/>
      <c r="C855" s="47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27.0" customHeight="1">
      <c r="A856" s="47"/>
      <c r="B856" s="48"/>
      <c r="C856" s="47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27.0" customHeight="1">
      <c r="A857" s="47"/>
      <c r="B857" s="48"/>
      <c r="C857" s="47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27.0" customHeight="1">
      <c r="A858" s="47"/>
      <c r="B858" s="48"/>
      <c r="C858" s="47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27.0" customHeight="1">
      <c r="A859" s="47"/>
      <c r="B859" s="48"/>
      <c r="C859" s="47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27.0" customHeight="1">
      <c r="A860" s="47"/>
      <c r="B860" s="48"/>
      <c r="C860" s="47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27.0" customHeight="1">
      <c r="A861" s="47"/>
      <c r="B861" s="48"/>
      <c r="C861" s="47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27.0" customHeight="1">
      <c r="A862" s="47"/>
      <c r="B862" s="48"/>
      <c r="C862" s="47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27.0" customHeight="1">
      <c r="A863" s="47"/>
      <c r="B863" s="48"/>
      <c r="C863" s="47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27.0" customHeight="1">
      <c r="A864" s="47"/>
      <c r="B864" s="48"/>
      <c r="C864" s="47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27.0" customHeight="1">
      <c r="A865" s="47"/>
      <c r="B865" s="48"/>
      <c r="C865" s="47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27.0" customHeight="1">
      <c r="A866" s="47"/>
      <c r="B866" s="48"/>
      <c r="C866" s="47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27.0" customHeight="1">
      <c r="A867" s="47"/>
      <c r="B867" s="48"/>
      <c r="C867" s="47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27.0" customHeight="1">
      <c r="A868" s="47"/>
      <c r="B868" s="48"/>
      <c r="C868" s="47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27.0" customHeight="1">
      <c r="A869" s="47"/>
      <c r="B869" s="48"/>
      <c r="C869" s="47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27.0" customHeight="1">
      <c r="A870" s="47"/>
      <c r="B870" s="48"/>
      <c r="C870" s="47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27.0" customHeight="1">
      <c r="A871" s="47"/>
      <c r="B871" s="48"/>
      <c r="C871" s="47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27.0" customHeight="1">
      <c r="A872" s="47"/>
      <c r="B872" s="48"/>
      <c r="C872" s="47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27.0" customHeight="1">
      <c r="A873" s="47"/>
      <c r="B873" s="48"/>
      <c r="C873" s="47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27.0" customHeight="1">
      <c r="A874" s="47"/>
      <c r="B874" s="48"/>
      <c r="C874" s="47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27.0" customHeight="1">
      <c r="A875" s="47"/>
      <c r="B875" s="48"/>
      <c r="C875" s="47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27.0" customHeight="1">
      <c r="A876" s="47"/>
      <c r="B876" s="48"/>
      <c r="C876" s="47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27.0" customHeight="1">
      <c r="A877" s="47"/>
      <c r="B877" s="48"/>
      <c r="C877" s="47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27.0" customHeight="1">
      <c r="A878" s="47"/>
      <c r="B878" s="48"/>
      <c r="C878" s="47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27.0" customHeight="1">
      <c r="A879" s="47"/>
      <c r="B879" s="48"/>
      <c r="C879" s="47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27.0" customHeight="1">
      <c r="A880" s="47"/>
      <c r="B880" s="48"/>
      <c r="C880" s="47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27.0" customHeight="1">
      <c r="A881" s="47"/>
      <c r="B881" s="48"/>
      <c r="C881" s="47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27.0" customHeight="1">
      <c r="A882" s="47"/>
      <c r="B882" s="48"/>
      <c r="C882" s="47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27.0" customHeight="1">
      <c r="A883" s="47"/>
      <c r="B883" s="48"/>
      <c r="C883" s="47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27.0" customHeight="1">
      <c r="A884" s="47"/>
      <c r="B884" s="48"/>
      <c r="C884" s="47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27.0" customHeight="1">
      <c r="A885" s="47"/>
      <c r="B885" s="48"/>
      <c r="C885" s="47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27.0" customHeight="1">
      <c r="A886" s="47"/>
      <c r="B886" s="48"/>
      <c r="C886" s="47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27.0" customHeight="1">
      <c r="A887" s="47"/>
      <c r="B887" s="48"/>
      <c r="C887" s="47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27.0" customHeight="1">
      <c r="A888" s="47"/>
      <c r="B888" s="48"/>
      <c r="C888" s="47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27.0" customHeight="1">
      <c r="A889" s="47"/>
      <c r="B889" s="48"/>
      <c r="C889" s="47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27.0" customHeight="1">
      <c r="A890" s="47"/>
      <c r="B890" s="48"/>
      <c r="C890" s="47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27.0" customHeight="1">
      <c r="A891" s="47"/>
      <c r="B891" s="48"/>
      <c r="C891" s="47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27.0" customHeight="1">
      <c r="A892" s="47"/>
      <c r="B892" s="48"/>
      <c r="C892" s="47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27.0" customHeight="1">
      <c r="A893" s="47"/>
      <c r="B893" s="48"/>
      <c r="C893" s="47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27.0" customHeight="1">
      <c r="A894" s="47"/>
      <c r="B894" s="48"/>
      <c r="C894" s="47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27.0" customHeight="1">
      <c r="A895" s="47"/>
      <c r="B895" s="48"/>
      <c r="C895" s="47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27.0" customHeight="1">
      <c r="A896" s="47"/>
      <c r="B896" s="48"/>
      <c r="C896" s="47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27.0" customHeight="1">
      <c r="A897" s="47"/>
      <c r="B897" s="48"/>
      <c r="C897" s="47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27.0" customHeight="1">
      <c r="A898" s="47"/>
      <c r="B898" s="48"/>
      <c r="C898" s="47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27.0" customHeight="1">
      <c r="A899" s="47"/>
      <c r="B899" s="48"/>
      <c r="C899" s="47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27.0" customHeight="1">
      <c r="A900" s="47"/>
      <c r="B900" s="48"/>
      <c r="C900" s="47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27.0" customHeight="1">
      <c r="A901" s="47"/>
      <c r="B901" s="48"/>
      <c r="C901" s="47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27.0" customHeight="1">
      <c r="A902" s="47"/>
      <c r="B902" s="48"/>
      <c r="C902" s="47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27.0" customHeight="1">
      <c r="A903" s="47"/>
      <c r="B903" s="48"/>
      <c r="C903" s="47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27.0" customHeight="1">
      <c r="A904" s="47"/>
      <c r="B904" s="48"/>
      <c r="C904" s="47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27.0" customHeight="1">
      <c r="A905" s="47"/>
      <c r="B905" s="48"/>
      <c r="C905" s="47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27.0" customHeight="1">
      <c r="A906" s="47"/>
      <c r="B906" s="48"/>
      <c r="C906" s="47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27.0" customHeight="1">
      <c r="A907" s="47"/>
      <c r="B907" s="48"/>
      <c r="C907" s="47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27.0" customHeight="1">
      <c r="A908" s="47"/>
      <c r="B908" s="48"/>
      <c r="C908" s="47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27.0" customHeight="1">
      <c r="A909" s="47"/>
      <c r="B909" s="48"/>
      <c r="C909" s="47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27.0" customHeight="1">
      <c r="A910" s="47"/>
      <c r="B910" s="48"/>
      <c r="C910" s="47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27.0" customHeight="1">
      <c r="A911" s="47"/>
      <c r="B911" s="48"/>
      <c r="C911" s="47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27.0" customHeight="1">
      <c r="A912" s="47"/>
      <c r="B912" s="48"/>
      <c r="C912" s="47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27.0" customHeight="1">
      <c r="A913" s="47"/>
      <c r="B913" s="48"/>
      <c r="C913" s="47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27.0" customHeight="1">
      <c r="A914" s="47"/>
      <c r="B914" s="48"/>
      <c r="C914" s="47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27.0" customHeight="1">
      <c r="A915" s="47"/>
      <c r="B915" s="48"/>
      <c r="C915" s="47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27.0" customHeight="1">
      <c r="A916" s="47"/>
      <c r="B916" s="48"/>
      <c r="C916" s="47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27.0" customHeight="1">
      <c r="A917" s="47"/>
      <c r="B917" s="48"/>
      <c r="C917" s="47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27.0" customHeight="1">
      <c r="A918" s="47"/>
      <c r="B918" s="48"/>
      <c r="C918" s="47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27.0" customHeight="1">
      <c r="A919" s="47"/>
      <c r="B919" s="48"/>
      <c r="C919" s="47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27.0" customHeight="1">
      <c r="A920" s="47"/>
      <c r="B920" s="48"/>
      <c r="C920" s="47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27.0" customHeight="1">
      <c r="A921" s="47"/>
      <c r="B921" s="48"/>
      <c r="C921" s="47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27.0" customHeight="1">
      <c r="A922" s="47"/>
      <c r="B922" s="48"/>
      <c r="C922" s="47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27.0" customHeight="1">
      <c r="A923" s="47"/>
      <c r="B923" s="48"/>
      <c r="C923" s="47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27.0" customHeight="1">
      <c r="A924" s="47"/>
      <c r="B924" s="48"/>
      <c r="C924" s="47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27.0" customHeight="1">
      <c r="A925" s="47"/>
      <c r="B925" s="48"/>
      <c r="C925" s="47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27.0" customHeight="1">
      <c r="A926" s="47"/>
      <c r="B926" s="48"/>
      <c r="C926" s="47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27.0" customHeight="1">
      <c r="A927" s="47"/>
      <c r="B927" s="48"/>
      <c r="C927" s="47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27.0" customHeight="1">
      <c r="A928" s="47"/>
      <c r="B928" s="48"/>
      <c r="C928" s="47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27.0" customHeight="1">
      <c r="A929" s="47"/>
      <c r="B929" s="48"/>
      <c r="C929" s="47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27.0" customHeight="1">
      <c r="A930" s="47"/>
      <c r="B930" s="48"/>
      <c r="C930" s="47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27.0" customHeight="1">
      <c r="A931" s="47"/>
      <c r="B931" s="48"/>
      <c r="C931" s="47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27.0" customHeight="1">
      <c r="A932" s="47"/>
      <c r="B932" s="48"/>
      <c r="C932" s="47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27.0" customHeight="1">
      <c r="A933" s="47"/>
      <c r="B933" s="48"/>
      <c r="C933" s="47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27.0" customHeight="1">
      <c r="A934" s="47"/>
      <c r="B934" s="48"/>
      <c r="C934" s="47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27.0" customHeight="1">
      <c r="A935" s="47"/>
      <c r="B935" s="48"/>
      <c r="C935" s="47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27.0" customHeight="1">
      <c r="A936" s="47"/>
      <c r="B936" s="48"/>
      <c r="C936" s="47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27.0" customHeight="1">
      <c r="A937" s="47"/>
      <c r="B937" s="48"/>
      <c r="C937" s="47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27.0" customHeight="1">
      <c r="A938" s="47"/>
      <c r="B938" s="48"/>
      <c r="C938" s="47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27.0" customHeight="1">
      <c r="A939" s="47"/>
      <c r="B939" s="48"/>
      <c r="C939" s="47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27.0" customHeight="1">
      <c r="A940" s="47"/>
      <c r="B940" s="48"/>
      <c r="C940" s="47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27.0" customHeight="1">
      <c r="A941" s="47"/>
      <c r="B941" s="48"/>
      <c r="C941" s="47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27.0" customHeight="1">
      <c r="A942" s="47"/>
      <c r="B942" s="48"/>
      <c r="C942" s="47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27.0" customHeight="1">
      <c r="A943" s="47"/>
      <c r="B943" s="48"/>
      <c r="C943" s="47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27.0" customHeight="1">
      <c r="A944" s="47"/>
      <c r="B944" s="48"/>
      <c r="C944" s="47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27.0" customHeight="1">
      <c r="A945" s="47"/>
      <c r="B945" s="48"/>
      <c r="C945" s="47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27.0" customHeight="1">
      <c r="A946" s="47"/>
      <c r="B946" s="48"/>
      <c r="C946" s="47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27.0" customHeight="1">
      <c r="A947" s="47"/>
      <c r="B947" s="48"/>
      <c r="C947" s="47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27.0" customHeight="1">
      <c r="A948" s="47"/>
      <c r="B948" s="48"/>
      <c r="C948" s="47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27.0" customHeight="1">
      <c r="A949" s="47"/>
      <c r="B949" s="48"/>
      <c r="C949" s="47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27.0" customHeight="1">
      <c r="A950" s="47"/>
      <c r="B950" s="48"/>
      <c r="C950" s="47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27.0" customHeight="1">
      <c r="A951" s="47"/>
      <c r="B951" s="48"/>
      <c r="C951" s="47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27.0" customHeight="1">
      <c r="A952" s="47"/>
      <c r="B952" s="48"/>
      <c r="C952" s="47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27.0" customHeight="1">
      <c r="A953" s="47"/>
      <c r="B953" s="48"/>
      <c r="C953" s="47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27.0" customHeight="1">
      <c r="A954" s="47"/>
      <c r="B954" s="48"/>
      <c r="C954" s="47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27.0" customHeight="1">
      <c r="A955" s="47"/>
      <c r="B955" s="48"/>
      <c r="C955" s="47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27.0" customHeight="1">
      <c r="A956" s="47"/>
      <c r="B956" s="48"/>
      <c r="C956" s="47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27.0" customHeight="1">
      <c r="A957" s="47"/>
      <c r="B957" s="48"/>
      <c r="C957" s="47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27.0" customHeight="1">
      <c r="A958" s="47"/>
      <c r="B958" s="48"/>
      <c r="C958" s="47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27.0" customHeight="1">
      <c r="A959" s="47"/>
      <c r="B959" s="48"/>
      <c r="C959" s="47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27.0" customHeight="1">
      <c r="A960" s="47"/>
      <c r="B960" s="48"/>
      <c r="C960" s="47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27.0" customHeight="1">
      <c r="A961" s="47"/>
      <c r="B961" s="48"/>
      <c r="C961" s="47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27.0" customHeight="1">
      <c r="A962" s="47"/>
      <c r="B962" s="48"/>
      <c r="C962" s="47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27.0" customHeight="1">
      <c r="A963" s="47"/>
      <c r="B963" s="48"/>
      <c r="C963" s="47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27.0" customHeight="1">
      <c r="A964" s="47"/>
      <c r="B964" s="48"/>
      <c r="C964" s="47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27.0" customHeight="1">
      <c r="A965" s="47"/>
      <c r="B965" s="48"/>
      <c r="C965" s="47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27.0" customHeight="1">
      <c r="A966" s="47"/>
      <c r="B966" s="48"/>
      <c r="C966" s="47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27.0" customHeight="1">
      <c r="A967" s="47"/>
      <c r="B967" s="48"/>
      <c r="C967" s="47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27.0" customHeight="1">
      <c r="A968" s="47"/>
      <c r="B968" s="48"/>
      <c r="C968" s="47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27.0" customHeight="1">
      <c r="A969" s="47"/>
      <c r="B969" s="48"/>
      <c r="C969" s="47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27.0" customHeight="1">
      <c r="A970" s="47"/>
      <c r="B970" s="48"/>
      <c r="C970" s="47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27.0" customHeight="1">
      <c r="A971" s="47"/>
      <c r="B971" s="48"/>
      <c r="C971" s="47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27.0" customHeight="1">
      <c r="A972" s="47"/>
      <c r="B972" s="48"/>
      <c r="C972" s="47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27.0" customHeight="1">
      <c r="A973" s="47"/>
      <c r="B973" s="48"/>
      <c r="C973" s="47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27.0" customHeight="1">
      <c r="A974" s="47"/>
      <c r="B974" s="48"/>
      <c r="C974" s="47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27.0" customHeight="1">
      <c r="A975" s="47"/>
      <c r="B975" s="48"/>
      <c r="C975" s="47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27.0" customHeight="1">
      <c r="A976" s="47"/>
      <c r="B976" s="48"/>
      <c r="C976" s="47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27.0" customHeight="1">
      <c r="A977" s="47"/>
      <c r="B977" s="48"/>
      <c r="C977" s="47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27.0" customHeight="1">
      <c r="A978" s="47"/>
      <c r="B978" s="48"/>
      <c r="C978" s="47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27.0" customHeight="1">
      <c r="A979" s="47"/>
      <c r="B979" s="48"/>
      <c r="C979" s="47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27.0" customHeight="1">
      <c r="A980" s="47"/>
      <c r="B980" s="48"/>
      <c r="C980" s="47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27.0" customHeight="1">
      <c r="A981" s="47"/>
      <c r="B981" s="48"/>
      <c r="C981" s="47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27.0" customHeight="1">
      <c r="A982" s="47"/>
      <c r="B982" s="48"/>
      <c r="C982" s="47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27.0" customHeight="1">
      <c r="A983" s="47"/>
      <c r="B983" s="48"/>
      <c r="C983" s="47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27.0" customHeight="1">
      <c r="A984" s="47"/>
      <c r="B984" s="48"/>
      <c r="C984" s="47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27.0" customHeight="1">
      <c r="A985" s="47"/>
      <c r="B985" s="48"/>
      <c r="C985" s="47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27.0" customHeight="1">
      <c r="A986" s="47"/>
      <c r="B986" s="48"/>
      <c r="C986" s="47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27.0" customHeight="1">
      <c r="A987" s="47"/>
      <c r="B987" s="48"/>
      <c r="C987" s="47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27.0" customHeight="1">
      <c r="A988" s="47"/>
      <c r="B988" s="48"/>
      <c r="C988" s="47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27.0" customHeight="1">
      <c r="A989" s="47"/>
      <c r="B989" s="48"/>
      <c r="C989" s="47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27.0" customHeight="1">
      <c r="A990" s="47"/>
      <c r="B990" s="48"/>
      <c r="C990" s="47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27.0" customHeight="1">
      <c r="A991" s="47"/>
      <c r="B991" s="48"/>
      <c r="C991" s="47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27.0" customHeight="1">
      <c r="A992" s="47"/>
      <c r="B992" s="48"/>
      <c r="C992" s="47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27.0" customHeight="1">
      <c r="A993" s="47"/>
      <c r="B993" s="48"/>
      <c r="C993" s="47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27.0" customHeight="1">
      <c r="A994" s="47"/>
      <c r="B994" s="48"/>
      <c r="C994" s="47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27.0" customHeight="1">
      <c r="A995" s="47"/>
      <c r="B995" s="48"/>
      <c r="C995" s="47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27.0" customHeight="1">
      <c r="A996" s="47"/>
      <c r="B996" s="48"/>
      <c r="C996" s="47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27.0" customHeight="1">
      <c r="A997" s="47"/>
      <c r="B997" s="48"/>
      <c r="C997" s="47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27.0" customHeight="1">
      <c r="A998" s="47"/>
      <c r="B998" s="48"/>
      <c r="C998" s="47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27.0" customHeight="1">
      <c r="A999" s="47"/>
      <c r="B999" s="48"/>
      <c r="C999" s="47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27.0" customHeight="1">
      <c r="A1000" s="47"/>
      <c r="B1000" s="48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4">
    <mergeCell ref="A2:M2"/>
    <mergeCell ref="A3:M3"/>
    <mergeCell ref="F5:H5"/>
    <mergeCell ref="L5:M5"/>
  </mergeCells>
  <printOptions/>
  <pageMargins bottom="0.232" footer="0.0" header="0.0" left="0.6735483870967742" right="0.08627956989247312" top="0.25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52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53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45102.0</v>
      </c>
      <c r="F7" s="27">
        <f t="shared" ref="F7:F36" si="1">DATEDIF(D7,E7,"y")</f>
        <v>14</v>
      </c>
      <c r="G7" s="27">
        <f t="shared" ref="G7:G36" si="2">DATEDIF(D7,E7,"ym")</f>
        <v>5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45102.0</v>
      </c>
      <c r="F8" s="27">
        <f t="shared" si="1"/>
        <v>14</v>
      </c>
      <c r="G8" s="27">
        <f t="shared" si="2"/>
        <v>1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45102.0</v>
      </c>
      <c r="F9" s="27">
        <f t="shared" si="1"/>
        <v>15</v>
      </c>
      <c r="G9" s="27">
        <f t="shared" si="2"/>
        <v>4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45102.0</v>
      </c>
      <c r="F10" s="27">
        <f t="shared" si="1"/>
        <v>14</v>
      </c>
      <c r="G10" s="27">
        <f t="shared" si="2"/>
        <v>3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45102.0</v>
      </c>
      <c r="F11" s="27">
        <f t="shared" si="1"/>
        <v>14</v>
      </c>
      <c r="G11" s="27">
        <f t="shared" si="2"/>
        <v>3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45102.0</v>
      </c>
      <c r="F12" s="27">
        <f t="shared" si="1"/>
        <v>14</v>
      </c>
      <c r="G12" s="27">
        <f t="shared" si="2"/>
        <v>8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45102.0</v>
      </c>
      <c r="F13" s="27">
        <f t="shared" si="1"/>
        <v>14</v>
      </c>
      <c r="G13" s="27">
        <f t="shared" si="2"/>
        <v>7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45102.0</v>
      </c>
      <c r="F14" s="27">
        <f t="shared" si="1"/>
        <v>15</v>
      </c>
      <c r="G14" s="27">
        <f t="shared" si="2"/>
        <v>0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45102.0</v>
      </c>
      <c r="F15" s="27">
        <f t="shared" si="1"/>
        <v>14</v>
      </c>
      <c r="G15" s="27">
        <f t="shared" si="2"/>
        <v>1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45102.0</v>
      </c>
      <c r="F16" s="27">
        <f t="shared" si="1"/>
        <v>14</v>
      </c>
      <c r="G16" s="27">
        <f t="shared" si="2"/>
        <v>9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45102.0</v>
      </c>
      <c r="F17" s="27">
        <f t="shared" si="1"/>
        <v>16</v>
      </c>
      <c r="G17" s="27">
        <f t="shared" si="2"/>
        <v>0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45102.0</v>
      </c>
      <c r="F18" s="27">
        <f t="shared" si="1"/>
        <v>16</v>
      </c>
      <c r="G18" s="27">
        <f t="shared" si="2"/>
        <v>8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45102.0</v>
      </c>
      <c r="F19" s="27">
        <f t="shared" si="1"/>
        <v>15</v>
      </c>
      <c r="G19" s="27">
        <f t="shared" si="2"/>
        <v>2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45102.0</v>
      </c>
      <c r="F20" s="27">
        <f t="shared" si="1"/>
        <v>14</v>
      </c>
      <c r="G20" s="27">
        <f t="shared" si="2"/>
        <v>4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45102.0</v>
      </c>
      <c r="F21" s="27">
        <f t="shared" si="1"/>
        <v>14</v>
      </c>
      <c r="G21" s="27">
        <f t="shared" si="2"/>
        <v>4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45102.0</v>
      </c>
      <c r="F22" s="27">
        <f t="shared" si="1"/>
        <v>14</v>
      </c>
      <c r="G22" s="27">
        <f t="shared" si="2"/>
        <v>4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45102.0</v>
      </c>
      <c r="F23" s="27">
        <f t="shared" si="1"/>
        <v>14</v>
      </c>
      <c r="G23" s="27">
        <f t="shared" si="2"/>
        <v>4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54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55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56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45132.0</v>
      </c>
      <c r="F7" s="27">
        <f t="shared" ref="F7:F36" si="1">DATEDIF(D7,E7,"y")</f>
        <v>14</v>
      </c>
      <c r="G7" s="27">
        <f t="shared" ref="G7:G36" si="2">DATEDIF(D7,E7,"ym")</f>
        <v>6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45132.0</v>
      </c>
      <c r="F8" s="27">
        <f t="shared" si="1"/>
        <v>14</v>
      </c>
      <c r="G8" s="27">
        <f t="shared" si="2"/>
        <v>2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45132.0</v>
      </c>
      <c r="F9" s="27">
        <f t="shared" si="1"/>
        <v>15</v>
      </c>
      <c r="G9" s="27">
        <f t="shared" si="2"/>
        <v>5</v>
      </c>
      <c r="H9" s="27">
        <f t="shared" si="3"/>
        <v>27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45132.0</v>
      </c>
      <c r="F10" s="27">
        <f t="shared" si="1"/>
        <v>14</v>
      </c>
      <c r="G10" s="27">
        <f t="shared" si="2"/>
        <v>4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45132.0</v>
      </c>
      <c r="F11" s="27">
        <f t="shared" si="1"/>
        <v>14</v>
      </c>
      <c r="G11" s="27">
        <f t="shared" si="2"/>
        <v>4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45132.0</v>
      </c>
      <c r="F12" s="27">
        <f t="shared" si="1"/>
        <v>14</v>
      </c>
      <c r="G12" s="27">
        <f t="shared" si="2"/>
        <v>9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45132.0</v>
      </c>
      <c r="F13" s="27">
        <f t="shared" si="1"/>
        <v>14</v>
      </c>
      <c r="G13" s="27">
        <f t="shared" si="2"/>
        <v>8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45132.0</v>
      </c>
      <c r="F14" s="27">
        <f t="shared" si="1"/>
        <v>15</v>
      </c>
      <c r="G14" s="27">
        <f t="shared" si="2"/>
        <v>1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45132.0</v>
      </c>
      <c r="F15" s="27">
        <f t="shared" si="1"/>
        <v>14</v>
      </c>
      <c r="G15" s="27">
        <f t="shared" si="2"/>
        <v>2</v>
      </c>
      <c r="H15" s="27">
        <f t="shared" si="3"/>
        <v>28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45132.0</v>
      </c>
      <c r="F16" s="27">
        <f t="shared" si="1"/>
        <v>14</v>
      </c>
      <c r="G16" s="27">
        <f t="shared" si="2"/>
        <v>10</v>
      </c>
      <c r="H16" s="27">
        <f t="shared" si="3"/>
        <v>28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45132.0</v>
      </c>
      <c r="F17" s="27">
        <f t="shared" si="1"/>
        <v>16</v>
      </c>
      <c r="G17" s="27">
        <f t="shared" si="2"/>
        <v>1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45132.0</v>
      </c>
      <c r="F18" s="27">
        <f t="shared" si="1"/>
        <v>16</v>
      </c>
      <c r="G18" s="27">
        <f t="shared" si="2"/>
        <v>9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45132.0</v>
      </c>
      <c r="F19" s="27">
        <f t="shared" si="1"/>
        <v>15</v>
      </c>
      <c r="G19" s="27">
        <f t="shared" si="2"/>
        <v>3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45132.0</v>
      </c>
      <c r="F20" s="27">
        <f t="shared" si="1"/>
        <v>14</v>
      </c>
      <c r="G20" s="27">
        <f t="shared" si="2"/>
        <v>5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45132.0</v>
      </c>
      <c r="F21" s="27">
        <f t="shared" si="1"/>
        <v>14</v>
      </c>
      <c r="G21" s="27">
        <f t="shared" si="2"/>
        <v>5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45132.0</v>
      </c>
      <c r="F22" s="27">
        <f t="shared" si="1"/>
        <v>14</v>
      </c>
      <c r="G22" s="27">
        <f t="shared" si="2"/>
        <v>5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45132.0</v>
      </c>
      <c r="F23" s="27">
        <f t="shared" si="1"/>
        <v>14</v>
      </c>
      <c r="G23" s="27">
        <f t="shared" si="2"/>
        <v>5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57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58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59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45163.0</v>
      </c>
      <c r="F7" s="27">
        <f t="shared" ref="F7:F36" si="1">DATEDIF(D7,E7,"y")</f>
        <v>14</v>
      </c>
      <c r="G7" s="27">
        <f t="shared" ref="G7:G36" si="2">DATEDIF(D7,E7,"ym")</f>
        <v>7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45163.0</v>
      </c>
      <c r="F8" s="27">
        <f t="shared" si="1"/>
        <v>14</v>
      </c>
      <c r="G8" s="27">
        <f t="shared" si="2"/>
        <v>3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45163.0</v>
      </c>
      <c r="F9" s="27">
        <f t="shared" si="1"/>
        <v>15</v>
      </c>
      <c r="G9" s="27">
        <f t="shared" si="2"/>
        <v>6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45163.0</v>
      </c>
      <c r="F10" s="27">
        <f t="shared" si="1"/>
        <v>14</v>
      </c>
      <c r="G10" s="27">
        <f t="shared" si="2"/>
        <v>5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45163.0</v>
      </c>
      <c r="F11" s="27">
        <f t="shared" si="1"/>
        <v>14</v>
      </c>
      <c r="G11" s="27">
        <f t="shared" si="2"/>
        <v>5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45163.0</v>
      </c>
      <c r="F12" s="27">
        <f t="shared" si="1"/>
        <v>14</v>
      </c>
      <c r="G12" s="27">
        <f t="shared" si="2"/>
        <v>10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45163.0</v>
      </c>
      <c r="F13" s="27">
        <f t="shared" si="1"/>
        <v>14</v>
      </c>
      <c r="G13" s="27">
        <f t="shared" si="2"/>
        <v>9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45163.0</v>
      </c>
      <c r="F14" s="27">
        <f t="shared" si="1"/>
        <v>15</v>
      </c>
      <c r="G14" s="27">
        <f t="shared" si="2"/>
        <v>2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45163.0</v>
      </c>
      <c r="F15" s="27">
        <f t="shared" si="1"/>
        <v>14</v>
      </c>
      <c r="G15" s="27">
        <f t="shared" si="2"/>
        <v>3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45163.0</v>
      </c>
      <c r="F16" s="27">
        <f t="shared" si="1"/>
        <v>14</v>
      </c>
      <c r="G16" s="27">
        <f t="shared" si="2"/>
        <v>11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45163.0</v>
      </c>
      <c r="F17" s="27">
        <f t="shared" si="1"/>
        <v>16</v>
      </c>
      <c r="G17" s="27">
        <f t="shared" si="2"/>
        <v>2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45163.0</v>
      </c>
      <c r="F18" s="27">
        <f t="shared" si="1"/>
        <v>16</v>
      </c>
      <c r="G18" s="27">
        <f t="shared" si="2"/>
        <v>10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45163.0</v>
      </c>
      <c r="F19" s="27">
        <f t="shared" si="1"/>
        <v>15</v>
      </c>
      <c r="G19" s="27">
        <f t="shared" si="2"/>
        <v>4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45163.0</v>
      </c>
      <c r="F20" s="27">
        <f t="shared" si="1"/>
        <v>14</v>
      </c>
      <c r="G20" s="27">
        <f t="shared" si="2"/>
        <v>6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45163.0</v>
      </c>
      <c r="F21" s="27">
        <f t="shared" si="1"/>
        <v>14</v>
      </c>
      <c r="G21" s="27">
        <f t="shared" si="2"/>
        <v>6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45163.0</v>
      </c>
      <c r="F22" s="27">
        <f t="shared" si="1"/>
        <v>14</v>
      </c>
      <c r="G22" s="27">
        <f t="shared" si="2"/>
        <v>6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45163.0</v>
      </c>
      <c r="F23" s="27">
        <f t="shared" si="1"/>
        <v>14</v>
      </c>
      <c r="G23" s="27">
        <f t="shared" si="2"/>
        <v>6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60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61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62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45194.0</v>
      </c>
      <c r="F7" s="27">
        <f t="shared" ref="F7:F36" si="1">DATEDIF(D7,E7,"y")</f>
        <v>14</v>
      </c>
      <c r="G7" s="27">
        <f t="shared" ref="G7:G36" si="2">DATEDIF(D7,E7,"ym")</f>
        <v>8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45194.0</v>
      </c>
      <c r="F8" s="27">
        <f t="shared" si="1"/>
        <v>14</v>
      </c>
      <c r="G8" s="27">
        <f t="shared" si="2"/>
        <v>4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45194.0</v>
      </c>
      <c r="F9" s="27">
        <f t="shared" si="1"/>
        <v>15</v>
      </c>
      <c r="G9" s="27">
        <f t="shared" si="2"/>
        <v>7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45194.0</v>
      </c>
      <c r="F10" s="27">
        <f t="shared" si="1"/>
        <v>14</v>
      </c>
      <c r="G10" s="27">
        <f t="shared" si="2"/>
        <v>6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45194.0</v>
      </c>
      <c r="F11" s="27">
        <f t="shared" si="1"/>
        <v>14</v>
      </c>
      <c r="G11" s="27">
        <f t="shared" si="2"/>
        <v>6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45194.0</v>
      </c>
      <c r="F12" s="27">
        <f t="shared" si="1"/>
        <v>14</v>
      </c>
      <c r="G12" s="27">
        <f t="shared" si="2"/>
        <v>11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45194.0</v>
      </c>
      <c r="F13" s="27">
        <f t="shared" si="1"/>
        <v>14</v>
      </c>
      <c r="G13" s="27">
        <f t="shared" si="2"/>
        <v>10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45194.0</v>
      </c>
      <c r="F14" s="27">
        <f t="shared" si="1"/>
        <v>15</v>
      </c>
      <c r="G14" s="27">
        <f t="shared" si="2"/>
        <v>3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45194.0</v>
      </c>
      <c r="F15" s="27">
        <f t="shared" si="1"/>
        <v>14</v>
      </c>
      <c r="G15" s="27">
        <f t="shared" si="2"/>
        <v>4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45194.0</v>
      </c>
      <c r="F16" s="27">
        <f t="shared" si="1"/>
        <v>15</v>
      </c>
      <c r="G16" s="27">
        <f t="shared" si="2"/>
        <v>0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45194.0</v>
      </c>
      <c r="F17" s="27">
        <f t="shared" si="1"/>
        <v>16</v>
      </c>
      <c r="G17" s="27">
        <f t="shared" si="2"/>
        <v>3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45194.0</v>
      </c>
      <c r="F18" s="27">
        <f t="shared" si="1"/>
        <v>16</v>
      </c>
      <c r="G18" s="27">
        <f t="shared" si="2"/>
        <v>11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45194.0</v>
      </c>
      <c r="F19" s="27">
        <f t="shared" si="1"/>
        <v>15</v>
      </c>
      <c r="G19" s="27">
        <f t="shared" si="2"/>
        <v>5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45194.0</v>
      </c>
      <c r="F20" s="27">
        <f t="shared" si="1"/>
        <v>14</v>
      </c>
      <c r="G20" s="27">
        <f t="shared" si="2"/>
        <v>7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45194.0</v>
      </c>
      <c r="F21" s="27">
        <f t="shared" si="1"/>
        <v>14</v>
      </c>
      <c r="G21" s="27">
        <f t="shared" si="2"/>
        <v>7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45194.0</v>
      </c>
      <c r="F22" s="27">
        <f t="shared" si="1"/>
        <v>14</v>
      </c>
      <c r="G22" s="27">
        <f t="shared" si="2"/>
        <v>7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45194.0</v>
      </c>
      <c r="F23" s="27">
        <f t="shared" si="1"/>
        <v>14</v>
      </c>
      <c r="G23" s="27">
        <f t="shared" si="2"/>
        <v>7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63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64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65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45224.0</v>
      </c>
      <c r="F7" s="27">
        <f t="shared" ref="F7:F36" si="1">DATEDIF(D7,E7,"y")</f>
        <v>14</v>
      </c>
      <c r="G7" s="27">
        <f t="shared" ref="G7:G36" si="2">DATEDIF(D7,E7,"ym")</f>
        <v>9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45224.0</v>
      </c>
      <c r="F8" s="27">
        <f t="shared" si="1"/>
        <v>14</v>
      </c>
      <c r="G8" s="27">
        <f t="shared" si="2"/>
        <v>5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45224.0</v>
      </c>
      <c r="F9" s="27">
        <f t="shared" si="1"/>
        <v>15</v>
      </c>
      <c r="G9" s="27">
        <f t="shared" si="2"/>
        <v>8</v>
      </c>
      <c r="H9" s="27">
        <f t="shared" si="3"/>
        <v>27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45224.0</v>
      </c>
      <c r="F10" s="27">
        <f t="shared" si="1"/>
        <v>14</v>
      </c>
      <c r="G10" s="27">
        <f t="shared" si="2"/>
        <v>7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45224.0</v>
      </c>
      <c r="F11" s="27">
        <f t="shared" si="1"/>
        <v>14</v>
      </c>
      <c r="G11" s="27">
        <f t="shared" si="2"/>
        <v>7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45224.0</v>
      </c>
      <c r="F12" s="27">
        <f t="shared" si="1"/>
        <v>15</v>
      </c>
      <c r="G12" s="27">
        <f t="shared" si="2"/>
        <v>0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45224.0</v>
      </c>
      <c r="F13" s="27">
        <f t="shared" si="1"/>
        <v>14</v>
      </c>
      <c r="G13" s="27">
        <f t="shared" si="2"/>
        <v>11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45224.0</v>
      </c>
      <c r="F14" s="27">
        <f t="shared" si="1"/>
        <v>15</v>
      </c>
      <c r="G14" s="27">
        <f t="shared" si="2"/>
        <v>4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45224.0</v>
      </c>
      <c r="F15" s="27">
        <f t="shared" si="1"/>
        <v>14</v>
      </c>
      <c r="G15" s="27">
        <f t="shared" si="2"/>
        <v>5</v>
      </c>
      <c r="H15" s="27">
        <f t="shared" si="3"/>
        <v>28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45224.0</v>
      </c>
      <c r="F16" s="27">
        <f t="shared" si="1"/>
        <v>15</v>
      </c>
      <c r="G16" s="27">
        <f t="shared" si="2"/>
        <v>1</v>
      </c>
      <c r="H16" s="27">
        <f t="shared" si="3"/>
        <v>28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45224.0</v>
      </c>
      <c r="F17" s="27">
        <f t="shared" si="1"/>
        <v>16</v>
      </c>
      <c r="G17" s="27">
        <f t="shared" si="2"/>
        <v>4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45224.0</v>
      </c>
      <c r="F18" s="27">
        <f t="shared" si="1"/>
        <v>17</v>
      </c>
      <c r="G18" s="27">
        <f t="shared" si="2"/>
        <v>0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45224.0</v>
      </c>
      <c r="F19" s="27">
        <f t="shared" si="1"/>
        <v>15</v>
      </c>
      <c r="G19" s="27">
        <f t="shared" si="2"/>
        <v>6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45224.0</v>
      </c>
      <c r="F20" s="27">
        <f t="shared" si="1"/>
        <v>14</v>
      </c>
      <c r="G20" s="27">
        <f t="shared" si="2"/>
        <v>8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45224.0</v>
      </c>
      <c r="F21" s="27">
        <f t="shared" si="1"/>
        <v>14</v>
      </c>
      <c r="G21" s="27">
        <f t="shared" si="2"/>
        <v>8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45224.0</v>
      </c>
      <c r="F22" s="27">
        <f t="shared" si="1"/>
        <v>14</v>
      </c>
      <c r="G22" s="27">
        <f t="shared" si="2"/>
        <v>8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45224.0</v>
      </c>
      <c r="F23" s="27">
        <f t="shared" si="1"/>
        <v>14</v>
      </c>
      <c r="G23" s="27">
        <f t="shared" si="2"/>
        <v>8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66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67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68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45255.0</v>
      </c>
      <c r="F7" s="27">
        <f t="shared" ref="F7:F36" si="1">DATEDIF(D7,E7,"y")</f>
        <v>14</v>
      </c>
      <c r="G7" s="27">
        <f t="shared" ref="G7:G36" si="2">DATEDIF(D7,E7,"ym")</f>
        <v>10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45255.0</v>
      </c>
      <c r="F8" s="27">
        <f t="shared" si="1"/>
        <v>14</v>
      </c>
      <c r="G8" s="27">
        <f t="shared" si="2"/>
        <v>6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45255.0</v>
      </c>
      <c r="F9" s="27">
        <f t="shared" si="1"/>
        <v>15</v>
      </c>
      <c r="G9" s="27">
        <f t="shared" si="2"/>
        <v>9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45255.0</v>
      </c>
      <c r="F10" s="27">
        <f t="shared" si="1"/>
        <v>14</v>
      </c>
      <c r="G10" s="27">
        <f t="shared" si="2"/>
        <v>8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45255.0</v>
      </c>
      <c r="F11" s="27">
        <f t="shared" si="1"/>
        <v>14</v>
      </c>
      <c r="G11" s="27">
        <f t="shared" si="2"/>
        <v>8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45255.0</v>
      </c>
      <c r="F12" s="27">
        <f t="shared" si="1"/>
        <v>15</v>
      </c>
      <c r="G12" s="27">
        <f t="shared" si="2"/>
        <v>1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45255.0</v>
      </c>
      <c r="F13" s="27">
        <f t="shared" si="1"/>
        <v>15</v>
      </c>
      <c r="G13" s="27">
        <f t="shared" si="2"/>
        <v>0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45255.0</v>
      </c>
      <c r="F14" s="27">
        <f t="shared" si="1"/>
        <v>15</v>
      </c>
      <c r="G14" s="27">
        <f t="shared" si="2"/>
        <v>5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45255.0</v>
      </c>
      <c r="F15" s="27">
        <f t="shared" si="1"/>
        <v>14</v>
      </c>
      <c r="G15" s="27">
        <f t="shared" si="2"/>
        <v>6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45255.0</v>
      </c>
      <c r="F16" s="27">
        <f t="shared" si="1"/>
        <v>15</v>
      </c>
      <c r="G16" s="27">
        <f t="shared" si="2"/>
        <v>2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45255.0</v>
      </c>
      <c r="F17" s="27">
        <f t="shared" si="1"/>
        <v>16</v>
      </c>
      <c r="G17" s="27">
        <f t="shared" si="2"/>
        <v>5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45255.0</v>
      </c>
      <c r="F18" s="27">
        <f t="shared" si="1"/>
        <v>17</v>
      </c>
      <c r="G18" s="27">
        <f t="shared" si="2"/>
        <v>1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45255.0</v>
      </c>
      <c r="F19" s="27">
        <f t="shared" si="1"/>
        <v>15</v>
      </c>
      <c r="G19" s="27">
        <f t="shared" si="2"/>
        <v>7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45255.0</v>
      </c>
      <c r="F20" s="27">
        <f t="shared" si="1"/>
        <v>14</v>
      </c>
      <c r="G20" s="27">
        <f t="shared" si="2"/>
        <v>9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45255.0</v>
      </c>
      <c r="F21" s="27">
        <f t="shared" si="1"/>
        <v>14</v>
      </c>
      <c r="G21" s="27">
        <f t="shared" si="2"/>
        <v>9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45255.0</v>
      </c>
      <c r="F22" s="27">
        <f t="shared" si="1"/>
        <v>14</v>
      </c>
      <c r="G22" s="27">
        <f t="shared" si="2"/>
        <v>9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45255.0</v>
      </c>
      <c r="F23" s="27">
        <f t="shared" si="1"/>
        <v>14</v>
      </c>
      <c r="G23" s="27">
        <f t="shared" si="2"/>
        <v>9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69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64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70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45285.0</v>
      </c>
      <c r="F7" s="27">
        <f t="shared" ref="F7:F36" si="1">DATEDIF(D7,E7,"y")</f>
        <v>14</v>
      </c>
      <c r="G7" s="27">
        <f t="shared" ref="G7:G36" si="2">DATEDIF(D7,E7,"ym")</f>
        <v>11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สมส่วน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45285.0</v>
      </c>
      <c r="F8" s="27">
        <f t="shared" si="1"/>
        <v>14</v>
      </c>
      <c r="G8" s="27">
        <f t="shared" si="2"/>
        <v>7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45285.0</v>
      </c>
      <c r="F9" s="27">
        <f t="shared" si="1"/>
        <v>15</v>
      </c>
      <c r="G9" s="27">
        <f t="shared" si="2"/>
        <v>10</v>
      </c>
      <c r="H9" s="27">
        <f t="shared" si="3"/>
        <v>27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45285.0</v>
      </c>
      <c r="F10" s="27">
        <f t="shared" si="1"/>
        <v>14</v>
      </c>
      <c r="G10" s="27">
        <f t="shared" si="2"/>
        <v>9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45285.0</v>
      </c>
      <c r="F11" s="27">
        <f t="shared" si="1"/>
        <v>14</v>
      </c>
      <c r="G11" s="27">
        <f t="shared" si="2"/>
        <v>9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45285.0</v>
      </c>
      <c r="F12" s="27">
        <f t="shared" si="1"/>
        <v>15</v>
      </c>
      <c r="G12" s="27">
        <f t="shared" si="2"/>
        <v>2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45285.0</v>
      </c>
      <c r="F13" s="27">
        <f t="shared" si="1"/>
        <v>15</v>
      </c>
      <c r="G13" s="27">
        <f t="shared" si="2"/>
        <v>1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45285.0</v>
      </c>
      <c r="F14" s="27">
        <f t="shared" si="1"/>
        <v>15</v>
      </c>
      <c r="G14" s="27">
        <f t="shared" si="2"/>
        <v>6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45285.0</v>
      </c>
      <c r="F15" s="27">
        <f t="shared" si="1"/>
        <v>14</v>
      </c>
      <c r="G15" s="27">
        <f t="shared" si="2"/>
        <v>7</v>
      </c>
      <c r="H15" s="27">
        <f t="shared" si="3"/>
        <v>28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45285.0</v>
      </c>
      <c r="F16" s="27">
        <f t="shared" si="1"/>
        <v>15</v>
      </c>
      <c r="G16" s="27">
        <f t="shared" si="2"/>
        <v>3</v>
      </c>
      <c r="H16" s="27">
        <f t="shared" si="3"/>
        <v>28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45285.0</v>
      </c>
      <c r="F17" s="27">
        <f t="shared" si="1"/>
        <v>16</v>
      </c>
      <c r="G17" s="27">
        <f t="shared" si="2"/>
        <v>6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45285.0</v>
      </c>
      <c r="F18" s="27">
        <f t="shared" si="1"/>
        <v>17</v>
      </c>
      <c r="G18" s="27">
        <f t="shared" si="2"/>
        <v>2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45285.0</v>
      </c>
      <c r="F19" s="27">
        <f t="shared" si="1"/>
        <v>15</v>
      </c>
      <c r="G19" s="27">
        <f t="shared" si="2"/>
        <v>8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45285.0</v>
      </c>
      <c r="F20" s="27">
        <f t="shared" si="1"/>
        <v>14</v>
      </c>
      <c r="G20" s="27">
        <f t="shared" si="2"/>
        <v>10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45285.0</v>
      </c>
      <c r="F21" s="27">
        <f t="shared" si="1"/>
        <v>14</v>
      </c>
      <c r="G21" s="27">
        <f t="shared" si="2"/>
        <v>10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45285.0</v>
      </c>
      <c r="F22" s="27">
        <f t="shared" si="1"/>
        <v>14</v>
      </c>
      <c r="G22" s="27">
        <f t="shared" si="2"/>
        <v>10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45285.0</v>
      </c>
      <c r="F23" s="27">
        <f t="shared" si="1"/>
        <v>14</v>
      </c>
      <c r="G23" s="27">
        <f t="shared" si="2"/>
        <v>10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71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11</v>
      </c>
      <c r="D41" s="36" t="s">
        <v>33</v>
      </c>
      <c r="E41" s="37">
        <f>(C41*100)/C40</f>
        <v>64.70588235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3</v>
      </c>
      <c r="D44" s="36" t="s">
        <v>33</v>
      </c>
      <c r="E44" s="37">
        <f>(C44*100)/C40</f>
        <v>17.64705882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72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73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45316.0</v>
      </c>
      <c r="F7" s="27">
        <f t="shared" ref="F7:F36" si="1">DATEDIF(D7,E7,"y")</f>
        <v>15</v>
      </c>
      <c r="G7" s="27">
        <f t="shared" ref="G7:G36" si="2">DATEDIF(D7,E7,"ym")</f>
        <v>0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ผอม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45316.0</v>
      </c>
      <c r="F8" s="27">
        <f t="shared" si="1"/>
        <v>14</v>
      </c>
      <c r="G8" s="27">
        <f t="shared" si="2"/>
        <v>8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45316.0</v>
      </c>
      <c r="F9" s="27">
        <f t="shared" si="1"/>
        <v>15</v>
      </c>
      <c r="G9" s="27">
        <f t="shared" si="2"/>
        <v>11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45316.0</v>
      </c>
      <c r="F10" s="27">
        <f t="shared" si="1"/>
        <v>14</v>
      </c>
      <c r="G10" s="27">
        <f t="shared" si="2"/>
        <v>10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45316.0</v>
      </c>
      <c r="F11" s="27">
        <f t="shared" si="1"/>
        <v>14</v>
      </c>
      <c r="G11" s="27">
        <f t="shared" si="2"/>
        <v>10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45316.0</v>
      </c>
      <c r="F12" s="27">
        <f t="shared" si="1"/>
        <v>15</v>
      </c>
      <c r="G12" s="27">
        <f t="shared" si="2"/>
        <v>3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45316.0</v>
      </c>
      <c r="F13" s="27">
        <f t="shared" si="1"/>
        <v>15</v>
      </c>
      <c r="G13" s="27">
        <f t="shared" si="2"/>
        <v>2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45316.0</v>
      </c>
      <c r="F14" s="27">
        <f t="shared" si="1"/>
        <v>15</v>
      </c>
      <c r="G14" s="27">
        <f t="shared" si="2"/>
        <v>7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45316.0</v>
      </c>
      <c r="F15" s="27">
        <f t="shared" si="1"/>
        <v>14</v>
      </c>
      <c r="G15" s="27">
        <f t="shared" si="2"/>
        <v>8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45316.0</v>
      </c>
      <c r="F16" s="27">
        <f t="shared" si="1"/>
        <v>15</v>
      </c>
      <c r="G16" s="27">
        <f t="shared" si="2"/>
        <v>4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45316.0</v>
      </c>
      <c r="F17" s="27">
        <f t="shared" si="1"/>
        <v>16</v>
      </c>
      <c r="G17" s="27">
        <f t="shared" si="2"/>
        <v>7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45316.0</v>
      </c>
      <c r="F18" s="27">
        <f t="shared" si="1"/>
        <v>17</v>
      </c>
      <c r="G18" s="27">
        <f t="shared" si="2"/>
        <v>3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45316.0</v>
      </c>
      <c r="F19" s="27">
        <f t="shared" si="1"/>
        <v>15</v>
      </c>
      <c r="G19" s="27">
        <f t="shared" si="2"/>
        <v>9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45316.0</v>
      </c>
      <c r="F20" s="27">
        <f t="shared" si="1"/>
        <v>14</v>
      </c>
      <c r="G20" s="27">
        <f t="shared" si="2"/>
        <v>11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สมส่วน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45316.0</v>
      </c>
      <c r="F21" s="27">
        <f t="shared" si="1"/>
        <v>14</v>
      </c>
      <c r="G21" s="27">
        <f t="shared" si="2"/>
        <v>11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สมส่วน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45316.0</v>
      </c>
      <c r="F22" s="27">
        <f t="shared" si="1"/>
        <v>14</v>
      </c>
      <c r="G22" s="27">
        <f t="shared" si="2"/>
        <v>11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สมส่วน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45316.0</v>
      </c>
      <c r="F23" s="27">
        <f t="shared" si="1"/>
        <v>14</v>
      </c>
      <c r="G23" s="27">
        <f t="shared" si="2"/>
        <v>11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สมส่วน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74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10</v>
      </c>
      <c r="D41" s="36" t="s">
        <v>33</v>
      </c>
      <c r="E41" s="37">
        <f>(C41*100)/C40</f>
        <v>58.82352941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4</v>
      </c>
      <c r="D44" s="36" t="s">
        <v>33</v>
      </c>
      <c r="E44" s="37">
        <f>(C44*100)/C40</f>
        <v>23.52941176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75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76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45347.0</v>
      </c>
      <c r="F7" s="27">
        <f t="shared" ref="F7:F36" si="1">DATEDIF(D7,E7,"y")</f>
        <v>15</v>
      </c>
      <c r="G7" s="27">
        <f t="shared" ref="G7:G36" si="2">DATEDIF(D7,E7,"ym")</f>
        <v>1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ผอม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45347.0</v>
      </c>
      <c r="F8" s="27">
        <f t="shared" si="1"/>
        <v>14</v>
      </c>
      <c r="G8" s="27">
        <f t="shared" si="2"/>
        <v>9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45347.0</v>
      </c>
      <c r="F9" s="27">
        <f t="shared" si="1"/>
        <v>16</v>
      </c>
      <c r="G9" s="27">
        <f t="shared" si="2"/>
        <v>0</v>
      </c>
      <c r="H9" s="27">
        <f t="shared" si="3"/>
        <v>28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45347.0</v>
      </c>
      <c r="F10" s="27">
        <f t="shared" si="1"/>
        <v>14</v>
      </c>
      <c r="G10" s="27">
        <f t="shared" si="2"/>
        <v>11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สมส่วน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45347.0</v>
      </c>
      <c r="F11" s="27">
        <f t="shared" si="1"/>
        <v>14</v>
      </c>
      <c r="G11" s="27">
        <f t="shared" si="2"/>
        <v>11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สมส่วน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45347.0</v>
      </c>
      <c r="F12" s="27">
        <f t="shared" si="1"/>
        <v>15</v>
      </c>
      <c r="G12" s="27">
        <f t="shared" si="2"/>
        <v>4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45347.0</v>
      </c>
      <c r="F13" s="27">
        <f t="shared" si="1"/>
        <v>15</v>
      </c>
      <c r="G13" s="27">
        <f t="shared" si="2"/>
        <v>3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45347.0</v>
      </c>
      <c r="F14" s="27">
        <f t="shared" si="1"/>
        <v>15</v>
      </c>
      <c r="G14" s="27">
        <f t="shared" si="2"/>
        <v>8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45347.0</v>
      </c>
      <c r="F15" s="27">
        <f t="shared" si="1"/>
        <v>14</v>
      </c>
      <c r="G15" s="27">
        <f t="shared" si="2"/>
        <v>9</v>
      </c>
      <c r="H15" s="27">
        <f t="shared" si="3"/>
        <v>29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45347.0</v>
      </c>
      <c r="F16" s="27">
        <f t="shared" si="1"/>
        <v>15</v>
      </c>
      <c r="G16" s="27">
        <f t="shared" si="2"/>
        <v>5</v>
      </c>
      <c r="H16" s="27">
        <f t="shared" si="3"/>
        <v>29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45347.0</v>
      </c>
      <c r="F17" s="27">
        <f t="shared" si="1"/>
        <v>16</v>
      </c>
      <c r="G17" s="27">
        <f t="shared" si="2"/>
        <v>8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45347.0</v>
      </c>
      <c r="F18" s="27">
        <f t="shared" si="1"/>
        <v>17</v>
      </c>
      <c r="G18" s="27">
        <f t="shared" si="2"/>
        <v>4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45347.0</v>
      </c>
      <c r="F19" s="27">
        <f t="shared" si="1"/>
        <v>15</v>
      </c>
      <c r="G19" s="27">
        <f t="shared" si="2"/>
        <v>10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45347.0</v>
      </c>
      <c r="F20" s="27">
        <f t="shared" si="1"/>
        <v>15</v>
      </c>
      <c r="G20" s="27">
        <f t="shared" si="2"/>
        <v>0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ผอม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45347.0</v>
      </c>
      <c r="F21" s="27">
        <f t="shared" si="1"/>
        <v>15</v>
      </c>
      <c r="G21" s="27">
        <f t="shared" si="2"/>
        <v>0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ผอม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45347.0</v>
      </c>
      <c r="F22" s="27">
        <f t="shared" si="1"/>
        <v>15</v>
      </c>
      <c r="G22" s="27">
        <f t="shared" si="2"/>
        <v>0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ผอม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45347.0</v>
      </c>
      <c r="F23" s="27">
        <f t="shared" si="1"/>
        <v>15</v>
      </c>
      <c r="G23" s="27">
        <f t="shared" si="2"/>
        <v>0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ผอม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77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6</v>
      </c>
      <c r="D41" s="36" t="s">
        <v>33</v>
      </c>
      <c r="E41" s="37">
        <f>(C41*100)/C40</f>
        <v>35.29411765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8</v>
      </c>
      <c r="D44" s="36" t="s">
        <v>33</v>
      </c>
      <c r="E44" s="37">
        <f>(C44*100)/C40</f>
        <v>47.05882353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6.0"/>
    <col customWidth="1" min="3" max="3" width="8.43"/>
    <col customWidth="1" min="4" max="5" width="17.86"/>
    <col customWidth="1" min="6" max="8" width="7.14"/>
    <col customWidth="1" min="9" max="10" width="9.43"/>
    <col customWidth="1" min="11" max="11" width="7.29"/>
    <col customWidth="1" min="12" max="12" width="10.71"/>
    <col customWidth="1" min="13" max="13" width="14.71"/>
    <col customWidth="1" min="14" max="26" width="8.86"/>
  </cols>
  <sheetData>
    <row r="1" ht="35.25" customHeight="1">
      <c r="A1" s="19"/>
      <c r="B1" s="20"/>
      <c r="C1" s="19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7.0" customHeight="1">
      <c r="A2" s="21" t="s">
        <v>78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7.0" customHeight="1">
      <c r="A3" s="21" t="s">
        <v>76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8.25" customHeight="1">
      <c r="A4" s="19"/>
      <c r="B4" s="20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7.0" customHeight="1">
      <c r="A5" s="9" t="s">
        <v>3</v>
      </c>
      <c r="B5" s="9" t="s">
        <v>14</v>
      </c>
      <c r="C5" s="9" t="s">
        <v>6</v>
      </c>
      <c r="D5" s="9" t="s">
        <v>15</v>
      </c>
      <c r="E5" s="9" t="s">
        <v>15</v>
      </c>
      <c r="F5" s="22" t="s">
        <v>16</v>
      </c>
      <c r="G5" s="23"/>
      <c r="H5" s="24"/>
      <c r="I5" s="9" t="s">
        <v>17</v>
      </c>
      <c r="J5" s="9" t="s">
        <v>18</v>
      </c>
      <c r="K5" s="9" t="s">
        <v>19</v>
      </c>
      <c r="L5" s="25" t="s">
        <v>20</v>
      </c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7.0" customHeight="1">
      <c r="A6" s="26"/>
      <c r="B6" s="26"/>
      <c r="C6" s="26"/>
      <c r="D6" s="26" t="s">
        <v>21</v>
      </c>
      <c r="E6" s="26" t="s">
        <v>22</v>
      </c>
      <c r="F6" s="10" t="s">
        <v>23</v>
      </c>
      <c r="G6" s="10" t="s">
        <v>24</v>
      </c>
      <c r="H6" s="10" t="s">
        <v>25</v>
      </c>
      <c r="I6" s="26" t="s">
        <v>26</v>
      </c>
      <c r="J6" s="26" t="s">
        <v>27</v>
      </c>
      <c r="K6" s="26"/>
      <c r="L6" s="10" t="s">
        <v>17</v>
      </c>
      <c r="M6" s="10" t="s">
        <v>18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7.0" customHeight="1">
      <c r="A7" s="27">
        <v>1.0</v>
      </c>
      <c r="B7" s="18" t="str">
        <f>'ข้อมูล'!C5</f>
        <v>ด.ช. ห้องเรียน วิชาการ</v>
      </c>
      <c r="C7" s="27" t="str">
        <f>'ข้อมูล'!D5</f>
        <v>ชาย</v>
      </c>
      <c r="D7" s="15">
        <f>'ข้อมูล'!E5</f>
        <v>39818</v>
      </c>
      <c r="E7" s="75">
        <v>45376.0</v>
      </c>
      <c r="F7" s="27">
        <f t="shared" ref="F7:F36" si="1">DATEDIF(D7,E7,"y")</f>
        <v>15</v>
      </c>
      <c r="G7" s="27">
        <f t="shared" ref="G7:G36" si="2">DATEDIF(D7,E7,"ym")</f>
        <v>2</v>
      </c>
      <c r="H7" s="27">
        <f t="shared" ref="H7:H36" si="3">DATEDIF(D7,E7,"md")</f>
        <v>20</v>
      </c>
      <c r="I7" s="27">
        <v>47.0</v>
      </c>
      <c r="J7" s="27">
        <v>159.0</v>
      </c>
      <c r="K7" s="28">
        <f t="shared" ref="K7:K36" si="4">IF(B7="","",I7/((J7/100)^2))</f>
        <v>18.59103675</v>
      </c>
      <c r="L7" s="27" t="str">
        <f>IF($B7="","",IF($C7="ชาย",IF(K7&lt;=VLOOKUP(F7,'เกณฑ์ดัชนีมวลกาย'!A5:U19,3,FALSE),"ผอมมาก",IF(K7&lt;=VLOOKUP(F7,'เกณฑ์ดัชนีมวลกาย'!A5:U19,5,FALSE),"ผอม",IF(K7&lt;=VLOOKUP(F7,'เกณฑ์ดัชนีมวลกาย'!A5:U19,7,FALSE),"สมส่วน",IF(K7&lt;=VLOOKUP(F7,'เกณฑ์ดัชนีมวลกาย'!A5:U19,9,FALSE),"ท้วม","อ้วน")))),IF(K7&lt;=VLOOKUP(F7,'เกณฑ์ดัชนีมวลกาย'!A5:U19,13,FALSE),"ผอมมาก",IF(K7&lt;=VLOOKUP(F7,'เกณฑ์ดัชนีมวลกาย'!A5:U19,15,FALSE),"ผอม",IF(K7&lt;=VLOOKUP(F7,'เกณฑ์ดัชนีมวลกาย'!A5:U19,17,FALSE),"สมส่วน",IF(K7&lt;=VLOOKUP(F7,'เกณฑ์ดัชนีมวลกาย'!A5:U19,19,FALSE),"ท้วม","อ้วน"))))))</f>
        <v>ผอม</v>
      </c>
      <c r="M7" s="27" t="str">
        <f>IF($B7="","",IF($C7="ชาย",IF(J7&lt;=VLOOKUP(F7,'เกณฑ์ส่วนสูง'!A5:U19,3,FALSE),"เตี้ย",IF(J7&lt;=VLOOKUP(F7,'เกณฑ์ส่วนสูง'!A5:U19,5,FALSE),"ค่อนข้างเตี้ย",IF(J7&lt;=VLOOKUP(F7,'เกณฑ์ส่วนสูง'!A5:U19,7,FALSE),"ส่วนสูงตามเกณฑ์",IF(J7&lt;=VLOOKUP(F7,'เกณฑ์ส่วนสูง'!A5:U19,9,FALSE),"ค่อนข้างสูง","สูง")))),IF(J7&lt;=VLOOKUP(F7,'เกณฑ์ส่วนสูง'!A5:U19,13,FALSE),"เตี้ย",IF(J7&lt;=VLOOKUP(F7,'เกณฑ์ส่วนสูง'!A5:U19,15,FALSE),"ค่อนข้างเตี้ย",IF(J7&lt;=VLOOKUP(F7,'เกณฑ์ส่วนสูง'!A5:U19,17,FALSE),"ส่วนสูงตามเกณฑ์",IF(J7&lt;=VLOOKUP(F7,'เกณฑ์ส่วนสูง'!A5:U19,19,FALSE),"ค่อนข้างสูง","สูง"))))))</f>
        <v>ส่วนสูงตามเกณฑ์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7.0" customHeight="1">
      <c r="A8" s="27">
        <v>2.0</v>
      </c>
      <c r="B8" s="18" t="str">
        <f>'ข้อมูล'!C6</f>
        <v>ด.ช. ห้องเรียน วิชาการ</v>
      </c>
      <c r="C8" s="27" t="str">
        <f>'ข้อมูล'!D6</f>
        <v>ชาย</v>
      </c>
      <c r="D8" s="15">
        <f>'ข้อมูล'!E6</f>
        <v>39942</v>
      </c>
      <c r="E8" s="75">
        <v>45376.0</v>
      </c>
      <c r="F8" s="27">
        <f t="shared" si="1"/>
        <v>14</v>
      </c>
      <c r="G8" s="27">
        <f t="shared" si="2"/>
        <v>10</v>
      </c>
      <c r="H8" s="27">
        <f t="shared" si="3"/>
        <v>16</v>
      </c>
      <c r="I8" s="27">
        <v>42.0</v>
      </c>
      <c r="J8" s="27">
        <v>155.0</v>
      </c>
      <c r="K8" s="28">
        <f t="shared" si="4"/>
        <v>17.4817898</v>
      </c>
      <c r="L8" s="27" t="str">
        <f>IF($B8="","",IF($C8="ชาย",IF(K8&lt;=VLOOKUP(F8,'เกณฑ์ดัชนีมวลกาย'!A5:U19,3,FALSE),"ผอมมาก",IF(K8&lt;=VLOOKUP(F8,'เกณฑ์ดัชนีมวลกาย'!A5:U19,5,FALSE),"ผอม",IF(K8&lt;=VLOOKUP(F8,'เกณฑ์ดัชนีมวลกาย'!A5:U19,7,FALSE),"สมส่วน",IF(K8&lt;=VLOOKUP(F8,'เกณฑ์ดัชนีมวลกาย'!A5:U19,9,FALSE),"ท้วม","อ้วน")))),IF(K8&lt;=VLOOKUP(F8,'เกณฑ์ดัชนีมวลกาย'!A5:U19,13,FALSE),"ผอมมาก",IF(K8&lt;=VLOOKUP(F8,'เกณฑ์ดัชนีมวลกาย'!A5:U19,15,FALSE),"ผอม",IF(K8&lt;=VLOOKUP(F8,'เกณฑ์ดัชนีมวลกาย'!A5:U19,17,FALSE),"สมส่วน",IF(K8&lt;=VLOOKUP(F8,'เกณฑ์ดัชนีมวลกาย'!A5:U19,19,FALSE),"ท้วม","อ้วน"))))))</f>
        <v>ผอม</v>
      </c>
      <c r="M8" s="27" t="str">
        <f>IF($B8="","",IF($C8="ชาย",IF(J8&lt;=VLOOKUP(F8,'เกณฑ์ส่วนสูง'!A5:U19,3,FALSE),"เตี้ย",IF(J8&lt;=VLOOKUP(F8,'เกณฑ์ส่วนสูง'!A5:U19,5,FALSE),"ค่อนข้างเตี้ย",IF(J8&lt;=VLOOKUP(F8,'เกณฑ์ส่วนสูง'!A5:U19,7,FALSE),"ส่วนสูงตามเกณฑ์",IF(J8&lt;=VLOOKUP(F8,'เกณฑ์ส่วนสูง'!A5:U19,9,FALSE),"ค่อนข้างสูง","สูง")))),IF(J8&lt;=VLOOKUP(F8,'เกณฑ์ส่วนสูง'!A5:U19,13,FALSE),"เตี้ย",IF(J8&lt;=VLOOKUP(F8,'เกณฑ์ส่วนสูง'!A5:U19,15,FALSE),"ค่อนข้างเตี้ย",IF(J8&lt;=VLOOKUP(F8,'เกณฑ์ส่วนสูง'!A5:U19,17,FALSE),"ส่วนสูงตามเกณฑ์",IF(J8&lt;=VLOOKUP(F8,'เกณฑ์ส่วนสูง'!A5:U19,19,FALSE),"ค่อนข้างสูง","สูง"))))))</f>
        <v>ส่วนสูงตามเกณฑ์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7.0" customHeight="1">
      <c r="A9" s="27">
        <v>3.0</v>
      </c>
      <c r="B9" s="18" t="str">
        <f>'ข้อมูล'!C7</f>
        <v>ด.ช. ห้องเรียน วิชาการ</v>
      </c>
      <c r="C9" s="27" t="str">
        <f>'ข้อมูล'!D7</f>
        <v>ชาย</v>
      </c>
      <c r="D9" s="15">
        <f>'ข้อมูล'!E7</f>
        <v>39475</v>
      </c>
      <c r="E9" s="75">
        <v>45376.0</v>
      </c>
      <c r="F9" s="27">
        <f t="shared" si="1"/>
        <v>16</v>
      </c>
      <c r="G9" s="27">
        <f t="shared" si="2"/>
        <v>1</v>
      </c>
      <c r="H9" s="27">
        <f t="shared" si="3"/>
        <v>26</v>
      </c>
      <c r="I9" s="27">
        <v>58.0</v>
      </c>
      <c r="J9" s="27">
        <v>173.0</v>
      </c>
      <c r="K9" s="28">
        <f t="shared" si="4"/>
        <v>19.37919743</v>
      </c>
      <c r="L9" s="27" t="str">
        <f>IF($B9="","",IF($C9="ชาย",IF(K9&lt;=VLOOKUP(F9,'เกณฑ์ดัชนีมวลกาย'!A5:U19,3,FALSE),"ผอมมาก",IF(K9&lt;=VLOOKUP(F9,'เกณฑ์ดัชนีมวลกาย'!A5:U19,5,FALSE),"ผอม",IF(K9&lt;=VLOOKUP(F9,'เกณฑ์ดัชนีมวลกาย'!A5:U19,7,FALSE),"สมส่วน",IF(K9&lt;=VLOOKUP(F9,'เกณฑ์ดัชนีมวลกาย'!A5:U19,9,FALSE),"ท้วม","อ้วน")))),IF(K9&lt;=VLOOKUP(F9,'เกณฑ์ดัชนีมวลกาย'!A5:U19,13,FALSE),"ผอมมาก",IF(K9&lt;=VLOOKUP(F9,'เกณฑ์ดัชนีมวลกาย'!A5:U19,15,FALSE),"ผอม",IF(K9&lt;=VLOOKUP(F9,'เกณฑ์ดัชนีมวลกาย'!A5:U19,17,FALSE),"สมส่วน",IF(K9&lt;=VLOOKUP(F9,'เกณฑ์ดัชนีมวลกาย'!A5:U19,19,FALSE),"ท้วม","อ้วน"))))))</f>
        <v>สมส่วน</v>
      </c>
      <c r="M9" s="27" t="str">
        <f>IF($B9="","",IF($C9="ชาย",IF(J9&lt;=VLOOKUP(F9,'เกณฑ์ส่วนสูง'!A5:U19,3,FALSE),"เตี้ย",IF(J9&lt;=VLOOKUP(F9,'เกณฑ์ส่วนสูง'!A5:U19,5,FALSE),"ค่อนข้างเตี้ย",IF(J9&lt;=VLOOKUP(F9,'เกณฑ์ส่วนสูง'!A5:U19,7,FALSE),"ส่วนสูงตามเกณฑ์",IF(J9&lt;=VLOOKUP(F9,'เกณฑ์ส่วนสูง'!A5:U19,9,FALSE),"ค่อนข้างสูง","สูง")))),IF(J9&lt;=VLOOKUP(F9,'เกณฑ์ส่วนสูง'!A5:U19,13,FALSE),"เตี้ย",IF(J9&lt;=VLOOKUP(F9,'เกณฑ์ส่วนสูง'!A5:U19,15,FALSE),"ค่อนข้างเตี้ย",IF(J9&lt;=VLOOKUP(F9,'เกณฑ์ส่วนสูง'!A5:U19,17,FALSE),"ส่วนสูงตามเกณฑ์",IF(J9&lt;=VLOOKUP(F9,'เกณฑ์ส่วนสูง'!A5:U19,19,FALSE),"ค่อนข้างสูง","สูง"))))))</f>
        <v>ส่วนสูงตามเกณฑ์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27.0" customHeight="1">
      <c r="A10" s="27">
        <v>4.0</v>
      </c>
      <c r="B10" s="18" t="str">
        <f>'ข้อมูล'!C8</f>
        <v>ด.ช. ห้องเรียน วิชาการ</v>
      </c>
      <c r="C10" s="27" t="str">
        <f>'ข้อมูล'!D8</f>
        <v>ชาย</v>
      </c>
      <c r="D10" s="15">
        <f>'ข้อมูล'!E8</f>
        <v>39895</v>
      </c>
      <c r="E10" s="75">
        <v>45376.0</v>
      </c>
      <c r="F10" s="27">
        <f t="shared" si="1"/>
        <v>15</v>
      </c>
      <c r="G10" s="27">
        <f t="shared" si="2"/>
        <v>0</v>
      </c>
      <c r="H10" s="27">
        <f t="shared" si="3"/>
        <v>2</v>
      </c>
      <c r="I10" s="27">
        <v>46.6</v>
      </c>
      <c r="J10" s="27">
        <v>162.0</v>
      </c>
      <c r="K10" s="28">
        <f t="shared" si="4"/>
        <v>17.75643957</v>
      </c>
      <c r="L10" s="27" t="str">
        <f>IF($B10="","",IF($C10="ชาย",IF(K10&lt;=VLOOKUP(F10,'เกณฑ์ดัชนีมวลกาย'!A5:U19,3,FALSE),"ผอมมาก",IF(K10&lt;=VLOOKUP(F10,'เกณฑ์ดัชนีมวลกาย'!A5:U19,5,FALSE),"ผอม",IF(K10&lt;=VLOOKUP(F10,'เกณฑ์ดัชนีมวลกาย'!A5:U19,7,FALSE),"สมส่วน",IF(K10&lt;=VLOOKUP(F10,'เกณฑ์ดัชนีมวลกาย'!A5:U19,9,FALSE),"ท้วม","อ้วน")))),IF(K10&lt;=VLOOKUP(F10,'เกณฑ์ดัชนีมวลกาย'!A5:U19,13,FALSE),"ผอมมาก",IF(K10&lt;=VLOOKUP(F10,'เกณฑ์ดัชนีมวลกาย'!A5:U19,15,FALSE),"ผอม",IF(K10&lt;=VLOOKUP(F10,'เกณฑ์ดัชนีมวลกาย'!A5:U19,17,FALSE),"สมส่วน",IF(K10&lt;=VLOOKUP(F10,'เกณฑ์ดัชนีมวลกาย'!A5:U19,19,FALSE),"ท้วม","อ้วน"))))))</f>
        <v>ผอม</v>
      </c>
      <c r="M10" s="27" t="str">
        <f>IF($B10="","",IF($C10="ชาย",IF(J10&lt;=VLOOKUP(F10,'เกณฑ์ส่วนสูง'!A5:U19,3,FALSE),"เตี้ย",IF(J10&lt;=VLOOKUP(F10,'เกณฑ์ส่วนสูง'!A5:U19,5,FALSE),"ค่อนข้างเตี้ย",IF(J10&lt;=VLOOKUP(F10,'เกณฑ์ส่วนสูง'!A5:U19,7,FALSE),"ส่วนสูงตามเกณฑ์",IF(J10&lt;=VLOOKUP(F10,'เกณฑ์ส่วนสูง'!A5:U19,9,FALSE),"ค่อนข้างสูง","สูง")))),IF(J10&lt;=VLOOKUP(F10,'เกณฑ์ส่วนสูง'!A5:U19,13,FALSE),"เตี้ย",IF(J10&lt;=VLOOKUP(F10,'เกณฑ์ส่วนสูง'!A5:U19,15,FALSE),"ค่อนข้างเตี้ย",IF(J10&lt;=VLOOKUP(F10,'เกณฑ์ส่วนสูง'!A5:U19,17,FALSE),"ส่วนสูงตามเกณฑ์",IF(J10&lt;=VLOOKUP(F10,'เกณฑ์ส่วนสูง'!A5:U19,19,FALSE),"ค่อนข้างสูง","สูง"))))))</f>
        <v>ส่วนสูงตามเกณฑ์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7.0" customHeight="1">
      <c r="A11" s="27">
        <v>5.0</v>
      </c>
      <c r="B11" s="18" t="str">
        <f>'ข้อมูล'!C9</f>
        <v>ด.ช. ห้องเรียน วิชาการ</v>
      </c>
      <c r="C11" s="27" t="str">
        <f>'ข้อมูล'!D9</f>
        <v>ชาย</v>
      </c>
      <c r="D11" s="15">
        <f>'ข้อมูล'!E9</f>
        <v>39880</v>
      </c>
      <c r="E11" s="75">
        <v>45376.0</v>
      </c>
      <c r="F11" s="27">
        <f t="shared" si="1"/>
        <v>15</v>
      </c>
      <c r="G11" s="27">
        <f t="shared" si="2"/>
        <v>0</v>
      </c>
      <c r="H11" s="27">
        <f t="shared" si="3"/>
        <v>17</v>
      </c>
      <c r="I11" s="27">
        <v>46.6</v>
      </c>
      <c r="J11" s="27">
        <v>162.0</v>
      </c>
      <c r="K11" s="28">
        <f t="shared" si="4"/>
        <v>17.75643957</v>
      </c>
      <c r="L11" s="27" t="str">
        <f>IF($B11="","",IF($C11="ชาย",IF(K11&lt;=VLOOKUP(F11,'เกณฑ์ดัชนีมวลกาย'!A5:U19,3,FALSE),"ผอมมาก",IF(K11&lt;=VLOOKUP(F11,'เกณฑ์ดัชนีมวลกาย'!A5:U19,5,FALSE),"ผอม",IF(K11&lt;=VLOOKUP(F11,'เกณฑ์ดัชนีมวลกาย'!A5:U19,7,FALSE),"สมส่วน",IF(K11&lt;=VLOOKUP(F11,'เกณฑ์ดัชนีมวลกาย'!A5:U19,9,FALSE),"ท้วม","อ้วน")))),IF(K11&lt;=VLOOKUP(F11,'เกณฑ์ดัชนีมวลกาย'!A5:U19,13,FALSE),"ผอมมาก",IF(K11&lt;=VLOOKUP(F11,'เกณฑ์ดัชนีมวลกาย'!A5:U19,15,FALSE),"ผอม",IF(K11&lt;=VLOOKUP(F11,'เกณฑ์ดัชนีมวลกาย'!A5:U19,17,FALSE),"สมส่วน",IF(K11&lt;=VLOOKUP(F11,'เกณฑ์ดัชนีมวลกาย'!A5:U19,19,FALSE),"ท้วม","อ้วน"))))))</f>
        <v>ผอม</v>
      </c>
      <c r="M11" s="27" t="str">
        <f>IF($B11="","",IF($C11="ชาย",IF(J11&lt;=VLOOKUP(F11,'เกณฑ์ส่วนสูง'!A5:U19,3,FALSE),"เตี้ย",IF(J11&lt;=VLOOKUP(F11,'เกณฑ์ส่วนสูง'!A5:U19,5,FALSE),"ค่อนข้างเตี้ย",IF(J11&lt;=VLOOKUP(F11,'เกณฑ์ส่วนสูง'!A5:U19,7,FALSE),"ส่วนสูงตามเกณฑ์",IF(J11&lt;=VLOOKUP(F11,'เกณฑ์ส่วนสูง'!A5:U19,9,FALSE),"ค่อนข้างสูง","สูง")))),IF(J11&lt;=VLOOKUP(F11,'เกณฑ์ส่วนสูง'!A5:U19,13,FALSE),"เตี้ย",IF(J11&lt;=VLOOKUP(F11,'เกณฑ์ส่วนสูง'!A5:U19,15,FALSE),"ค่อนข้างเตี้ย",IF(J11&lt;=VLOOKUP(F11,'เกณฑ์ส่วนสูง'!A5:U19,17,FALSE),"ส่วนสูงตามเกณฑ์",IF(J11&lt;=VLOOKUP(F11,'เกณฑ์ส่วนสูง'!A5:U19,19,FALSE),"ค่อนข้างสูง","สูง"))))))</f>
        <v>ส่วนสูงตามเกณฑ์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7.0" customHeight="1">
      <c r="A12" s="27">
        <v>6.0</v>
      </c>
      <c r="B12" s="18" t="str">
        <f>'ข้อมูล'!C10</f>
        <v>ด.ช. ห้องเรียน วิชาการ</v>
      </c>
      <c r="C12" s="27" t="str">
        <f>'ข้อมูล'!D10</f>
        <v>ชาย</v>
      </c>
      <c r="D12" s="15">
        <f>'ข้อมูล'!E10</f>
        <v>39735</v>
      </c>
      <c r="E12" s="75">
        <v>45376.0</v>
      </c>
      <c r="F12" s="27">
        <f t="shared" si="1"/>
        <v>15</v>
      </c>
      <c r="G12" s="27">
        <f t="shared" si="2"/>
        <v>5</v>
      </c>
      <c r="H12" s="27">
        <f t="shared" si="3"/>
        <v>11</v>
      </c>
      <c r="I12" s="27">
        <v>40.8</v>
      </c>
      <c r="J12" s="27">
        <v>160.0</v>
      </c>
      <c r="K12" s="28">
        <f t="shared" si="4"/>
        <v>15.9375</v>
      </c>
      <c r="L12" s="27" t="str">
        <f>IF($B12="","",IF($C12="ชาย",IF(K12&lt;=VLOOKUP(F12,'เกณฑ์ดัชนีมวลกาย'!A5:U19,3,FALSE),"ผอมมาก",IF(K12&lt;=VLOOKUP(F12,'เกณฑ์ดัชนีมวลกาย'!A5:U19,5,FALSE),"ผอม",IF(K12&lt;=VLOOKUP(F12,'เกณฑ์ดัชนีมวลกาย'!A5:U19,7,FALSE),"สมส่วน",IF(K12&lt;=VLOOKUP(F12,'เกณฑ์ดัชนีมวลกาย'!A5:U19,9,FALSE),"ท้วม","อ้วน")))),IF(K12&lt;=VLOOKUP(F12,'เกณฑ์ดัชนีมวลกาย'!A5:U19,13,FALSE),"ผอมมาก",IF(K12&lt;=VLOOKUP(F12,'เกณฑ์ดัชนีมวลกาย'!A5:U19,15,FALSE),"ผอม",IF(K12&lt;=VLOOKUP(F12,'เกณฑ์ดัชนีมวลกาย'!A5:U19,17,FALSE),"สมส่วน",IF(K12&lt;=VLOOKUP(F12,'เกณฑ์ดัชนีมวลกาย'!A5:U19,19,FALSE),"ท้วม","อ้วน"))))))</f>
        <v>ผอม</v>
      </c>
      <c r="M12" s="27" t="str">
        <f>IF($B12="","",IF($C12="ชาย",IF(J12&lt;=VLOOKUP(F12,'เกณฑ์ส่วนสูง'!A5:U19,3,FALSE),"เตี้ย",IF(J12&lt;=VLOOKUP(F12,'เกณฑ์ส่วนสูง'!A5:U19,5,FALSE),"ค่อนข้างเตี้ย",IF(J12&lt;=VLOOKUP(F12,'เกณฑ์ส่วนสูง'!A5:U19,7,FALSE),"ส่วนสูงตามเกณฑ์",IF(J12&lt;=VLOOKUP(F12,'เกณฑ์ส่วนสูง'!A5:U19,9,FALSE),"ค่อนข้างสูง","สูง")))),IF(J12&lt;=VLOOKUP(F12,'เกณฑ์ส่วนสูง'!A5:U19,13,FALSE),"เตี้ย",IF(J12&lt;=VLOOKUP(F12,'เกณฑ์ส่วนสูง'!A5:U19,15,FALSE),"ค่อนข้างเตี้ย",IF(J12&lt;=VLOOKUP(F12,'เกณฑ์ส่วนสูง'!A5:U19,17,FALSE),"ส่วนสูงตามเกณฑ์",IF(J12&lt;=VLOOKUP(F12,'เกณฑ์ส่วนสูง'!A5:U19,19,FALSE),"ค่อนข้างสูง","สูง"))))))</f>
        <v>ส่วนสูงตามเกณฑ์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7.0" customHeight="1">
      <c r="A13" s="27">
        <v>7.0</v>
      </c>
      <c r="B13" s="18" t="str">
        <f>'ข้อมูล'!C11</f>
        <v>ด.ช. ห้องเรียน วิชาการ</v>
      </c>
      <c r="C13" s="27" t="str">
        <f>'ข้อมูล'!D11</f>
        <v>ชาย</v>
      </c>
      <c r="D13" s="15">
        <f>'ข้อมูล'!E11</f>
        <v>39767</v>
      </c>
      <c r="E13" s="75">
        <v>45376.0</v>
      </c>
      <c r="F13" s="27">
        <f t="shared" si="1"/>
        <v>15</v>
      </c>
      <c r="G13" s="27">
        <f t="shared" si="2"/>
        <v>4</v>
      </c>
      <c r="H13" s="27">
        <f t="shared" si="3"/>
        <v>10</v>
      </c>
      <c r="I13" s="27">
        <v>73.4</v>
      </c>
      <c r="J13" s="27">
        <v>154.0</v>
      </c>
      <c r="K13" s="28">
        <f t="shared" si="4"/>
        <v>30.94956991</v>
      </c>
      <c r="L13" s="27" t="str">
        <f>IF($B13="","",IF($C13="ชาย",IF(K13&lt;=VLOOKUP(F13,'เกณฑ์ดัชนีมวลกาย'!A5:U19,3,FALSE),"ผอมมาก",IF(K13&lt;=VLOOKUP(F13,'เกณฑ์ดัชนีมวลกาย'!A5:U19,5,FALSE),"ผอม",IF(K13&lt;=VLOOKUP(F13,'เกณฑ์ดัชนีมวลกาย'!A5:U19,7,FALSE),"สมส่วน",IF(K13&lt;=VLOOKUP(F13,'เกณฑ์ดัชนีมวลกาย'!A5:U19,9,FALSE),"ท้วม","อ้วน")))),IF(K13&lt;=VLOOKUP(F13,'เกณฑ์ดัชนีมวลกาย'!A5:U19,13,FALSE),"ผอมมาก",IF(K13&lt;=VLOOKUP(F13,'เกณฑ์ดัชนีมวลกาย'!A5:U19,15,FALSE),"ผอม",IF(K13&lt;=VLOOKUP(F13,'เกณฑ์ดัชนีมวลกาย'!A5:U19,17,FALSE),"สมส่วน",IF(K13&lt;=VLOOKUP(F13,'เกณฑ์ดัชนีมวลกาย'!A5:U19,19,FALSE),"ท้วม","อ้วน"))))))</f>
        <v>อ้วน</v>
      </c>
      <c r="M13" s="27" t="str">
        <f>IF($B13="","",IF($C13="ชาย",IF(J13&lt;=VLOOKUP(F13,'เกณฑ์ส่วนสูง'!A5:U19,3,FALSE),"เตี้ย",IF(J13&lt;=VLOOKUP(F13,'เกณฑ์ส่วนสูง'!A5:U19,5,FALSE),"ค่อนข้างเตี้ย",IF(J13&lt;=VLOOKUP(F13,'เกณฑ์ส่วนสูง'!A5:U19,7,FALSE),"ส่วนสูงตามเกณฑ์",IF(J13&lt;=VLOOKUP(F13,'เกณฑ์ส่วนสูง'!A5:U19,9,FALSE),"ค่อนข้างสูง","สูง")))),IF(J13&lt;=VLOOKUP(F13,'เกณฑ์ส่วนสูง'!A5:U19,13,FALSE),"เตี้ย",IF(J13&lt;=VLOOKUP(F13,'เกณฑ์ส่วนสูง'!A5:U19,15,FALSE),"ค่อนข้างเตี้ย",IF(J13&lt;=VLOOKUP(F13,'เกณฑ์ส่วนสูง'!A5:U19,17,FALSE),"ส่วนสูงตามเกณฑ์",IF(J13&lt;=VLOOKUP(F13,'เกณฑ์ส่วนสูง'!A5:U19,19,FALSE),"ค่อนข้างสูง","สูง"))))))</f>
        <v>ส่วนสูงตามเกณฑ์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7.0" customHeight="1">
      <c r="A14" s="27">
        <v>8.0</v>
      </c>
      <c r="B14" s="18" t="str">
        <f>'ข้อมูล'!C12</f>
        <v>ด.ช. ห้องเรียน วิชาการ</v>
      </c>
      <c r="C14" s="27" t="str">
        <f>'ข้อมูล'!D12</f>
        <v>ชาย</v>
      </c>
      <c r="D14" s="15">
        <f>'ข้อมูล'!E12</f>
        <v>39612</v>
      </c>
      <c r="E14" s="75">
        <v>45376.0</v>
      </c>
      <c r="F14" s="27">
        <f t="shared" si="1"/>
        <v>15</v>
      </c>
      <c r="G14" s="27">
        <f t="shared" si="2"/>
        <v>9</v>
      </c>
      <c r="H14" s="27">
        <f t="shared" si="3"/>
        <v>12</v>
      </c>
      <c r="I14" s="27">
        <v>90.0</v>
      </c>
      <c r="J14" s="27">
        <v>177.0</v>
      </c>
      <c r="K14" s="28">
        <f t="shared" si="4"/>
        <v>28.72737719</v>
      </c>
      <c r="L14" s="27" t="str">
        <f>IF($B14="","",IF($C14="ชาย",IF(K14&lt;=VLOOKUP(F14,'เกณฑ์ดัชนีมวลกาย'!A5:U19,3,FALSE),"ผอมมาก",IF(K14&lt;=VLOOKUP(F14,'เกณฑ์ดัชนีมวลกาย'!A5:U19,5,FALSE),"ผอม",IF(K14&lt;=VLOOKUP(F14,'เกณฑ์ดัชนีมวลกาย'!A5:U19,7,FALSE),"สมส่วน",IF(K14&lt;=VLOOKUP(F14,'เกณฑ์ดัชนีมวลกาย'!A5:U19,9,FALSE),"ท้วม","อ้วน")))),IF(K14&lt;=VLOOKUP(F14,'เกณฑ์ดัชนีมวลกาย'!A5:U19,13,FALSE),"ผอมมาก",IF(K14&lt;=VLOOKUP(F14,'เกณฑ์ดัชนีมวลกาย'!A5:U19,15,FALSE),"ผอม",IF(K14&lt;=VLOOKUP(F14,'เกณฑ์ดัชนีมวลกาย'!A5:U19,17,FALSE),"สมส่วน",IF(K14&lt;=VLOOKUP(F14,'เกณฑ์ดัชนีมวลกาย'!A5:U19,19,FALSE),"ท้วม","อ้วน"))))))</f>
        <v>อ้วน</v>
      </c>
      <c r="M14" s="27" t="str">
        <f>IF($B14="","",IF($C14="ชาย",IF(J14&lt;=VLOOKUP(F14,'เกณฑ์ส่วนสูง'!A5:U19,3,FALSE),"เตี้ย",IF(J14&lt;=VLOOKUP(F14,'เกณฑ์ส่วนสูง'!A5:U19,5,FALSE),"ค่อนข้างเตี้ย",IF(J14&lt;=VLOOKUP(F14,'เกณฑ์ส่วนสูง'!A5:U19,7,FALSE),"ส่วนสูงตามเกณฑ์",IF(J14&lt;=VLOOKUP(F14,'เกณฑ์ส่วนสูง'!A5:U19,9,FALSE),"ค่อนข้างสูง","สูง")))),IF(J14&lt;=VLOOKUP(F14,'เกณฑ์ส่วนสูง'!A5:U19,13,FALSE),"เตี้ย",IF(J14&lt;=VLOOKUP(F14,'เกณฑ์ส่วนสูง'!A5:U19,15,FALSE),"ค่อนข้างเตี้ย",IF(J14&lt;=VLOOKUP(F14,'เกณฑ์ส่วนสูง'!A5:U19,17,FALSE),"ส่วนสูงตามเกณฑ์",IF(J14&lt;=VLOOKUP(F14,'เกณฑ์ส่วนสูง'!A5:U19,19,FALSE),"ค่อนข้างสูง","สูง"))))))</f>
        <v>สูง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7.0" customHeight="1">
      <c r="A15" s="27">
        <v>9.0</v>
      </c>
      <c r="B15" s="18" t="str">
        <f>'ข้อมูล'!C13</f>
        <v>ด.ช. ห้องเรียน วิชาการ</v>
      </c>
      <c r="C15" s="27" t="str">
        <f>'ข้อมูล'!D13</f>
        <v>ชาย</v>
      </c>
      <c r="D15" s="15">
        <f>'ข้อมูล'!E13</f>
        <v>39930</v>
      </c>
      <c r="E15" s="75">
        <v>45376.0</v>
      </c>
      <c r="F15" s="27">
        <f t="shared" si="1"/>
        <v>14</v>
      </c>
      <c r="G15" s="27">
        <f t="shared" si="2"/>
        <v>10</v>
      </c>
      <c r="H15" s="27">
        <f t="shared" si="3"/>
        <v>27</v>
      </c>
      <c r="I15" s="27">
        <v>41.0</v>
      </c>
      <c r="J15" s="27">
        <v>152.0</v>
      </c>
      <c r="K15" s="28">
        <f t="shared" si="4"/>
        <v>17.74584488</v>
      </c>
      <c r="L15" s="27" t="str">
        <f>IF($B15="","",IF($C15="ชาย",IF(K15&lt;=VLOOKUP(F15,'เกณฑ์ดัชนีมวลกาย'!A5:U19,3,FALSE),"ผอมมาก",IF(K15&lt;=VLOOKUP(F15,'เกณฑ์ดัชนีมวลกาย'!A5:U19,5,FALSE),"ผอม",IF(K15&lt;=VLOOKUP(F15,'เกณฑ์ดัชนีมวลกาย'!A5:U19,7,FALSE),"สมส่วน",IF(K15&lt;=VLOOKUP(F15,'เกณฑ์ดัชนีมวลกาย'!A5:U19,9,FALSE),"ท้วม","อ้วน")))),IF(K15&lt;=VLOOKUP(F15,'เกณฑ์ดัชนีมวลกาย'!A5:U19,13,FALSE),"ผอมมาก",IF(K15&lt;=VLOOKUP(F15,'เกณฑ์ดัชนีมวลกาย'!A5:U19,15,FALSE),"ผอม",IF(K15&lt;=VLOOKUP(F15,'เกณฑ์ดัชนีมวลกาย'!A5:U19,17,FALSE),"สมส่วน",IF(K15&lt;=VLOOKUP(F15,'เกณฑ์ดัชนีมวลกาย'!A5:U19,19,FALSE),"ท้วม","อ้วน"))))))</f>
        <v>สมส่วน</v>
      </c>
      <c r="M15" s="27" t="str">
        <f>IF($B15="","",IF($C15="ชาย",IF(J15&lt;=VLOOKUP(F15,'เกณฑ์ส่วนสูง'!A5:U19,3,FALSE),"เตี้ย",IF(J15&lt;=VLOOKUP(F15,'เกณฑ์ส่วนสูง'!A5:U19,5,FALSE),"ค่อนข้างเตี้ย",IF(J15&lt;=VLOOKUP(F15,'เกณฑ์ส่วนสูง'!A5:U19,7,FALSE),"ส่วนสูงตามเกณฑ์",IF(J15&lt;=VLOOKUP(F15,'เกณฑ์ส่วนสูง'!A5:U19,9,FALSE),"ค่อนข้างสูง","สูง")))),IF(J15&lt;=VLOOKUP(F15,'เกณฑ์ส่วนสูง'!A5:U19,13,FALSE),"เตี้ย",IF(J15&lt;=VLOOKUP(F15,'เกณฑ์ส่วนสูง'!A5:U19,15,FALSE),"ค่อนข้างเตี้ย",IF(J15&lt;=VLOOKUP(F15,'เกณฑ์ส่วนสูง'!A5:U19,17,FALSE),"ส่วนสูงตามเกณฑ์",IF(J15&lt;=VLOOKUP(F15,'เกณฑ์ส่วนสูง'!A5:U19,19,FALSE),"ค่อนข้างสูง","สูง"))))))</f>
        <v>ส่วนสูงตามเกณฑ์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7.0" customHeight="1">
      <c r="A16" s="27">
        <v>10.0</v>
      </c>
      <c r="B16" s="18" t="str">
        <f>'ข้อมูล'!C14</f>
        <v>ด.ญ.ห้องเรียน วิชาการ</v>
      </c>
      <c r="C16" s="27" t="str">
        <f>'ข้อมูล'!D14</f>
        <v>หญิง</v>
      </c>
      <c r="D16" s="15">
        <f>'ข้อมูล'!E14</f>
        <v>39687</v>
      </c>
      <c r="E16" s="75">
        <v>45376.0</v>
      </c>
      <c r="F16" s="27">
        <f t="shared" si="1"/>
        <v>15</v>
      </c>
      <c r="G16" s="27">
        <f t="shared" si="2"/>
        <v>6</v>
      </c>
      <c r="H16" s="27">
        <f t="shared" si="3"/>
        <v>27</v>
      </c>
      <c r="I16" s="27">
        <v>58.0</v>
      </c>
      <c r="J16" s="27">
        <v>155.0</v>
      </c>
      <c r="K16" s="28">
        <f t="shared" si="4"/>
        <v>24.14151925</v>
      </c>
      <c r="L16" s="27" t="str">
        <f>IF($B16="","",IF($C16="ชาย",IF(K16&lt;=VLOOKUP(F16,'เกณฑ์ดัชนีมวลกาย'!A5:U19,3,FALSE),"ผอมมาก",IF(K16&lt;=VLOOKUP(F16,'เกณฑ์ดัชนีมวลกาย'!A5:U19,5,FALSE),"ผอม",IF(K16&lt;=VLOOKUP(F16,'เกณฑ์ดัชนีมวลกาย'!A5:U19,7,FALSE),"สมส่วน",IF(K16&lt;=VLOOKUP(F16,'เกณฑ์ดัชนีมวลกาย'!A5:U19,9,FALSE),"ท้วม","อ้วน")))),IF(K16&lt;=VLOOKUP(F16,'เกณฑ์ดัชนีมวลกาย'!A5:U19,13,FALSE),"ผอมมาก",IF(K16&lt;=VLOOKUP(F16,'เกณฑ์ดัชนีมวลกาย'!A5:U19,15,FALSE),"ผอม",IF(K16&lt;=VLOOKUP(F16,'เกณฑ์ดัชนีมวลกาย'!A5:U19,17,FALSE),"สมส่วน",IF(K16&lt;=VLOOKUP(F16,'เกณฑ์ดัชนีมวลกาย'!A5:U19,19,FALSE),"ท้วม","อ้วน"))))))</f>
        <v>ท้วม</v>
      </c>
      <c r="M16" s="27" t="str">
        <f>IF($B16="","",IF($C16="ชาย",IF(J16&lt;=VLOOKUP(F16,'เกณฑ์ส่วนสูง'!A5:U19,3,FALSE),"เตี้ย",IF(J16&lt;=VLOOKUP(F16,'เกณฑ์ส่วนสูง'!A5:U19,5,FALSE),"ค่อนข้างเตี้ย",IF(J16&lt;=VLOOKUP(F16,'เกณฑ์ส่วนสูง'!A5:U19,7,FALSE),"ส่วนสูงตามเกณฑ์",IF(J16&lt;=VLOOKUP(F16,'เกณฑ์ส่วนสูง'!A5:U19,9,FALSE),"ค่อนข้างสูง","สูง")))),IF(J16&lt;=VLOOKUP(F16,'เกณฑ์ส่วนสูง'!A5:U19,13,FALSE),"เตี้ย",IF(J16&lt;=VLOOKUP(F16,'เกณฑ์ส่วนสูง'!A5:U19,15,FALSE),"ค่อนข้างเตี้ย",IF(J16&lt;=VLOOKUP(F16,'เกณฑ์ส่วนสูง'!A5:U19,17,FALSE),"ส่วนสูงตามเกณฑ์",IF(J16&lt;=VLOOKUP(F16,'เกณฑ์ส่วนสูง'!A5:U19,19,FALSE),"ค่อนข้างสูง","สูง"))))))</f>
        <v>ส่วนสูงตามเกณฑ์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7.0" customHeight="1">
      <c r="A17" s="27">
        <v>11.0</v>
      </c>
      <c r="B17" s="18" t="str">
        <f>'ข้อมูล'!C15</f>
        <v>ด.ญ.ห้องเรียน วิชาการ</v>
      </c>
      <c r="C17" s="27" t="str">
        <f>'ข้อมูล'!D15</f>
        <v>หญิง</v>
      </c>
      <c r="D17" s="15">
        <f>'ข้อมูล'!E15</f>
        <v>39234</v>
      </c>
      <c r="E17" s="75">
        <v>45376.0</v>
      </c>
      <c r="F17" s="27">
        <f t="shared" si="1"/>
        <v>16</v>
      </c>
      <c r="G17" s="27">
        <f t="shared" si="2"/>
        <v>9</v>
      </c>
      <c r="H17" s="27">
        <f t="shared" si="3"/>
        <v>24</v>
      </c>
      <c r="I17" s="27">
        <v>48.0</v>
      </c>
      <c r="J17" s="27">
        <v>165.0</v>
      </c>
      <c r="K17" s="28">
        <f t="shared" si="4"/>
        <v>17.63085399</v>
      </c>
      <c r="L17" s="27" t="str">
        <f>IF($B17="","",IF($C17="ชาย",IF(K17&lt;=VLOOKUP(F17,'เกณฑ์ดัชนีมวลกาย'!A5:U19,3,FALSE),"ผอมมาก",IF(K17&lt;=VLOOKUP(F17,'เกณฑ์ดัชนีมวลกาย'!A5:U19,5,FALSE),"ผอม",IF(K17&lt;=VLOOKUP(F17,'เกณฑ์ดัชนีมวลกาย'!A5:U19,7,FALSE),"สมส่วน",IF(K17&lt;=VLOOKUP(F17,'เกณฑ์ดัชนีมวลกาย'!A5:U19,9,FALSE),"ท้วม","อ้วน")))),IF(K17&lt;=VLOOKUP(F17,'เกณฑ์ดัชนีมวลกาย'!A5:U19,13,FALSE),"ผอมมาก",IF(K17&lt;=VLOOKUP(F17,'เกณฑ์ดัชนีมวลกาย'!A5:U19,15,FALSE),"ผอม",IF(K17&lt;=VLOOKUP(F17,'เกณฑ์ดัชนีมวลกาย'!A5:U19,17,FALSE),"สมส่วน",IF(K17&lt;=VLOOKUP(F17,'เกณฑ์ดัชนีมวลกาย'!A5:U19,19,FALSE),"ท้วม","อ้วน"))))))</f>
        <v>ผอม</v>
      </c>
      <c r="M17" s="27" t="str">
        <f>IF($B17="","",IF($C17="ชาย",IF(J17&lt;=VLOOKUP(F17,'เกณฑ์ส่วนสูง'!A5:U19,3,FALSE),"เตี้ย",IF(J17&lt;=VLOOKUP(F17,'เกณฑ์ส่วนสูง'!A5:U19,5,FALSE),"ค่อนข้างเตี้ย",IF(J17&lt;=VLOOKUP(F17,'เกณฑ์ส่วนสูง'!A5:U19,7,FALSE),"ส่วนสูงตามเกณฑ์",IF(J17&lt;=VLOOKUP(F17,'เกณฑ์ส่วนสูง'!A5:U19,9,FALSE),"ค่อนข้างสูง","สูง")))),IF(J17&lt;=VLOOKUP(F17,'เกณฑ์ส่วนสูง'!A5:U19,13,FALSE),"เตี้ย",IF(J17&lt;=VLOOKUP(F17,'เกณฑ์ส่วนสูง'!A5:U19,15,FALSE),"ค่อนข้างเตี้ย",IF(J17&lt;=VLOOKUP(F17,'เกณฑ์ส่วนสูง'!A5:U19,17,FALSE),"ส่วนสูงตามเกณฑ์",IF(J17&lt;=VLOOKUP(F17,'เกณฑ์ส่วนสูง'!A5:U19,19,FALSE),"ค่อนข้างสูง","สูง"))))))</f>
        <v>ค่อนข้างสูง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7.0" customHeight="1">
      <c r="A18" s="27">
        <v>12.0</v>
      </c>
      <c r="B18" s="18" t="str">
        <f>'ข้อมูล'!C16</f>
        <v>ด.ญ.ห้องเรียน วิชาการ</v>
      </c>
      <c r="C18" s="27" t="str">
        <f>'ข้อมูล'!D16</f>
        <v>หญิง</v>
      </c>
      <c r="D18" s="15">
        <f>'ข้อมูล'!E16</f>
        <v>38997</v>
      </c>
      <c r="E18" s="75">
        <v>45376.0</v>
      </c>
      <c r="F18" s="27">
        <f t="shared" si="1"/>
        <v>17</v>
      </c>
      <c r="G18" s="27">
        <f t="shared" si="2"/>
        <v>5</v>
      </c>
      <c r="H18" s="27">
        <f t="shared" si="3"/>
        <v>18</v>
      </c>
      <c r="I18" s="27">
        <v>65.0</v>
      </c>
      <c r="J18" s="27">
        <v>167.0</v>
      </c>
      <c r="K18" s="28">
        <f t="shared" si="4"/>
        <v>23.30668005</v>
      </c>
      <c r="L18" s="27" t="str">
        <f>IF($B18="","",IF($C18="ชาย",IF(K18&lt;=VLOOKUP(F18,'เกณฑ์ดัชนีมวลกาย'!A5:U19,3,FALSE),"ผอมมาก",IF(K18&lt;=VLOOKUP(F18,'เกณฑ์ดัชนีมวลกาย'!A5:U19,5,FALSE),"ผอม",IF(K18&lt;=VLOOKUP(F18,'เกณฑ์ดัชนีมวลกาย'!A5:U19,7,FALSE),"สมส่วน",IF(K18&lt;=VLOOKUP(F18,'เกณฑ์ดัชนีมวลกาย'!A5:U19,9,FALSE),"ท้วม","อ้วน")))),IF(K18&lt;=VLOOKUP(F18,'เกณฑ์ดัชนีมวลกาย'!A5:U19,13,FALSE),"ผอมมาก",IF(K18&lt;=VLOOKUP(F18,'เกณฑ์ดัชนีมวลกาย'!A5:U19,15,FALSE),"ผอม",IF(K18&lt;=VLOOKUP(F18,'เกณฑ์ดัชนีมวลกาย'!A5:U19,17,FALSE),"สมส่วน",IF(K18&lt;=VLOOKUP(F18,'เกณฑ์ดัชนีมวลกาย'!A5:U19,19,FALSE),"ท้วม","อ้วน"))))))</f>
        <v>สมส่วน</v>
      </c>
      <c r="M18" s="27" t="str">
        <f>IF($B18="","",IF($C18="ชาย",IF(J18&lt;=VLOOKUP(F18,'เกณฑ์ส่วนสูง'!A5:U19,3,FALSE),"เตี้ย",IF(J18&lt;=VLOOKUP(F18,'เกณฑ์ส่วนสูง'!A5:U19,5,FALSE),"ค่อนข้างเตี้ย",IF(J18&lt;=VLOOKUP(F18,'เกณฑ์ส่วนสูง'!A5:U19,7,FALSE),"ส่วนสูงตามเกณฑ์",IF(J18&lt;=VLOOKUP(F18,'เกณฑ์ส่วนสูง'!A5:U19,9,FALSE),"ค่อนข้างสูง","สูง")))),IF(J18&lt;=VLOOKUP(F18,'เกณฑ์ส่วนสูง'!A5:U19,13,FALSE),"เตี้ย",IF(J18&lt;=VLOOKUP(F18,'เกณฑ์ส่วนสูง'!A5:U19,15,FALSE),"ค่อนข้างเตี้ย",IF(J18&lt;=VLOOKUP(F18,'เกณฑ์ส่วนสูง'!A5:U19,17,FALSE),"ส่วนสูงตามเกณฑ์",IF(J18&lt;=VLOOKUP(F18,'เกณฑ์ส่วนสูง'!A5:U19,19,FALSE),"ค่อนข้างสูง","สูง"))))))</f>
        <v>สูง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7.0" customHeight="1">
      <c r="A19" s="27">
        <v>13.0</v>
      </c>
      <c r="B19" s="18" t="str">
        <f>'ข้อมูล'!C17</f>
        <v>ด.ญ.ห้องเรียน วิชาการ</v>
      </c>
      <c r="C19" s="27" t="str">
        <f>'ข้อมูล'!D17</f>
        <v>หญิง</v>
      </c>
      <c r="D19" s="15">
        <f>'ข้อมูล'!E17</f>
        <v>39553</v>
      </c>
      <c r="E19" s="75">
        <v>45376.0</v>
      </c>
      <c r="F19" s="27">
        <f t="shared" si="1"/>
        <v>15</v>
      </c>
      <c r="G19" s="27">
        <f t="shared" si="2"/>
        <v>11</v>
      </c>
      <c r="H19" s="27">
        <f t="shared" si="3"/>
        <v>10</v>
      </c>
      <c r="I19" s="27">
        <v>58.0</v>
      </c>
      <c r="J19" s="27">
        <v>167.0</v>
      </c>
      <c r="K19" s="28">
        <f t="shared" si="4"/>
        <v>20.79672989</v>
      </c>
      <c r="L19" s="27" t="str">
        <f>IF($B19="","",IF($C19="ชาย",IF(K19&lt;=VLOOKUP(F19,'เกณฑ์ดัชนีมวลกาย'!A5:U19,3,FALSE),"ผอมมาก",IF(K19&lt;=VLOOKUP(F19,'เกณฑ์ดัชนีมวลกาย'!A5:U19,5,FALSE),"ผอม",IF(K19&lt;=VLOOKUP(F19,'เกณฑ์ดัชนีมวลกาย'!A5:U19,7,FALSE),"สมส่วน",IF(K19&lt;=VLOOKUP(F19,'เกณฑ์ดัชนีมวลกาย'!A5:U19,9,FALSE),"ท้วม","อ้วน")))),IF(K19&lt;=VLOOKUP(F19,'เกณฑ์ดัชนีมวลกาย'!A5:U19,13,FALSE),"ผอมมาก",IF(K19&lt;=VLOOKUP(F19,'เกณฑ์ดัชนีมวลกาย'!A5:U19,15,FALSE),"ผอม",IF(K19&lt;=VLOOKUP(F19,'เกณฑ์ดัชนีมวลกาย'!A5:U19,17,FALSE),"สมส่วน",IF(K19&lt;=VLOOKUP(F19,'เกณฑ์ดัชนีมวลกาย'!A5:U19,19,FALSE),"ท้วม","อ้วน"))))))</f>
        <v>สมส่วน</v>
      </c>
      <c r="M19" s="27" t="str">
        <f>IF($B19="","",IF($C19="ชาย",IF(J19&lt;=VLOOKUP(F19,'เกณฑ์ส่วนสูง'!A5:U19,3,FALSE),"เตี้ย",IF(J19&lt;=VLOOKUP(F19,'เกณฑ์ส่วนสูง'!A5:U19,5,FALSE),"ค่อนข้างเตี้ย",IF(J19&lt;=VLOOKUP(F19,'เกณฑ์ส่วนสูง'!A5:U19,7,FALSE),"ส่วนสูงตามเกณฑ์",IF(J19&lt;=VLOOKUP(F19,'เกณฑ์ส่วนสูง'!A5:U19,9,FALSE),"ค่อนข้างสูง","สูง")))),IF(J19&lt;=VLOOKUP(F19,'เกณฑ์ส่วนสูง'!A5:U19,13,FALSE),"เตี้ย",IF(J19&lt;=VLOOKUP(F19,'เกณฑ์ส่วนสูง'!A5:U19,15,FALSE),"ค่อนข้างเตี้ย",IF(J19&lt;=VLOOKUP(F19,'เกณฑ์ส่วนสูง'!A5:U19,17,FALSE),"ส่วนสูงตามเกณฑ์",IF(J19&lt;=VLOOKUP(F19,'เกณฑ์ส่วนสูง'!A5:U19,19,FALSE),"ค่อนข้างสูง","สูง"))))))</f>
        <v>สูง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6.25" customHeight="1">
      <c r="A20" s="27">
        <v>14.0</v>
      </c>
      <c r="B20" s="18" t="str">
        <f>'ข้อมูล'!C18</f>
        <v>ด.ญ.ห้องเรียน วิชาการ</v>
      </c>
      <c r="C20" s="27" t="str">
        <f>'ข้อมูล'!D18</f>
        <v>หญิง</v>
      </c>
      <c r="D20" s="15">
        <f>'ข้อมูล'!E18</f>
        <v>39860</v>
      </c>
      <c r="E20" s="75">
        <v>45376.0</v>
      </c>
      <c r="F20" s="27">
        <f t="shared" si="1"/>
        <v>15</v>
      </c>
      <c r="G20" s="27">
        <f t="shared" si="2"/>
        <v>1</v>
      </c>
      <c r="H20" s="27">
        <f t="shared" si="3"/>
        <v>9</v>
      </c>
      <c r="I20" s="27">
        <v>46.0</v>
      </c>
      <c r="J20" s="27">
        <v>159.0</v>
      </c>
      <c r="K20" s="28">
        <f t="shared" si="4"/>
        <v>18.19548277</v>
      </c>
      <c r="L20" s="27" t="str">
        <f>IF($B20="","",IF($C20="ชาย",IF(K20&lt;=VLOOKUP(F20,'เกณฑ์ดัชนีมวลกาย'!A5:U19,3,FALSE),"ผอมมาก",IF(K20&lt;=VLOOKUP(F20,'เกณฑ์ดัชนีมวลกาย'!A5:U19,5,FALSE),"ผอม",IF(K20&lt;=VLOOKUP(F20,'เกณฑ์ดัชนีมวลกาย'!A5:U19,7,FALSE),"สมส่วน",IF(K20&lt;=VLOOKUP(F20,'เกณฑ์ดัชนีมวลกาย'!A5:U19,9,FALSE),"ท้วม","อ้วน")))),IF(K20&lt;=VLOOKUP(F20,'เกณฑ์ดัชนีมวลกาย'!A5:U19,13,FALSE),"ผอมมาก",IF(K20&lt;=VLOOKUP(F20,'เกณฑ์ดัชนีมวลกาย'!A5:U19,15,FALSE),"ผอม",IF(K20&lt;=VLOOKUP(F20,'เกณฑ์ดัชนีมวลกาย'!A5:U19,17,FALSE),"สมส่วน",IF(K20&lt;=VLOOKUP(F20,'เกณฑ์ดัชนีมวลกาย'!A5:U19,19,FALSE),"ท้วม","อ้วน"))))))</f>
        <v>ผอม</v>
      </c>
      <c r="M20" s="27" t="str">
        <f>IF($B20="","",IF($C20="ชาย",IF(J20&lt;=VLOOKUP(F20,'เกณฑ์ส่วนสูง'!A5:U19,3,FALSE),"เตี้ย",IF(J20&lt;=VLOOKUP(F20,'เกณฑ์ส่วนสูง'!A5:U19,5,FALSE),"ค่อนข้างเตี้ย",IF(J20&lt;=VLOOKUP(F20,'เกณฑ์ส่วนสูง'!A5:U19,7,FALSE),"ส่วนสูงตามเกณฑ์",IF(J20&lt;=VLOOKUP(F20,'เกณฑ์ส่วนสูง'!A5:U19,9,FALSE),"ค่อนข้างสูง","สูง")))),IF(J20&lt;=VLOOKUP(F20,'เกณฑ์ส่วนสูง'!A5:U19,13,FALSE),"เตี้ย",IF(J20&lt;=VLOOKUP(F20,'เกณฑ์ส่วนสูง'!A5:U19,15,FALSE),"ค่อนข้างเตี้ย",IF(J20&lt;=VLOOKUP(F20,'เกณฑ์ส่วนสูง'!A5:U19,17,FALSE),"ส่วนสูงตามเกณฑ์",IF(J20&lt;=VLOOKUP(F20,'เกณฑ์ส่วนสูง'!A5:U19,19,FALSE),"ค่อนข้างสูง","สูง"))))))</f>
        <v>ส่วนสูงตามเกณฑ์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7.0" customHeight="1">
      <c r="A21" s="27">
        <v>15.0</v>
      </c>
      <c r="B21" s="18" t="str">
        <f>'ข้อมูล'!C19</f>
        <v>ด.ญ.ห้องเรียน วิชาการ</v>
      </c>
      <c r="C21" s="27" t="str">
        <f>'ข้อมูล'!D19</f>
        <v>หญิง</v>
      </c>
      <c r="D21" s="15">
        <f>'ข้อมูล'!E19</f>
        <v>39861</v>
      </c>
      <c r="E21" s="75">
        <v>45376.0</v>
      </c>
      <c r="F21" s="27">
        <f t="shared" si="1"/>
        <v>15</v>
      </c>
      <c r="G21" s="27">
        <f t="shared" si="2"/>
        <v>1</v>
      </c>
      <c r="H21" s="27">
        <f t="shared" si="3"/>
        <v>8</v>
      </c>
      <c r="I21" s="27">
        <v>46.0</v>
      </c>
      <c r="J21" s="27">
        <v>159.0</v>
      </c>
      <c r="K21" s="28">
        <f t="shared" si="4"/>
        <v>18.19548277</v>
      </c>
      <c r="L21" s="27" t="str">
        <f>IF($B21="","",IF($C21="ชาย",IF(K21&lt;=VLOOKUP(F21,'เกณฑ์ดัชนีมวลกาย'!A5:U19,3,FALSE),"ผอมมาก",IF(K21&lt;=VLOOKUP(F21,'เกณฑ์ดัชนีมวลกาย'!A5:U19,5,FALSE),"ผอม",IF(K21&lt;=VLOOKUP(F21,'เกณฑ์ดัชนีมวลกาย'!A5:U19,7,FALSE),"สมส่วน",IF(K21&lt;=VLOOKUP(F21,'เกณฑ์ดัชนีมวลกาย'!A5:U19,9,FALSE),"ท้วม","อ้วน")))),IF(K21&lt;=VLOOKUP(F21,'เกณฑ์ดัชนีมวลกาย'!A5:U19,13,FALSE),"ผอมมาก",IF(K21&lt;=VLOOKUP(F21,'เกณฑ์ดัชนีมวลกาย'!A5:U19,15,FALSE),"ผอม",IF(K21&lt;=VLOOKUP(F21,'เกณฑ์ดัชนีมวลกาย'!A5:U19,17,FALSE),"สมส่วน",IF(K21&lt;=VLOOKUP(F21,'เกณฑ์ดัชนีมวลกาย'!A5:U19,19,FALSE),"ท้วม","อ้วน"))))))</f>
        <v>ผอม</v>
      </c>
      <c r="M21" s="27" t="str">
        <f>IF($B21="","",IF($C21="ชาย",IF(J21&lt;=VLOOKUP(F21,'เกณฑ์ส่วนสูง'!A5:U19,3,FALSE),"เตี้ย",IF(J21&lt;=VLOOKUP(F21,'เกณฑ์ส่วนสูง'!A5:U19,5,FALSE),"ค่อนข้างเตี้ย",IF(J21&lt;=VLOOKUP(F21,'เกณฑ์ส่วนสูง'!A5:U19,7,FALSE),"ส่วนสูงตามเกณฑ์",IF(J21&lt;=VLOOKUP(F21,'เกณฑ์ส่วนสูง'!A5:U19,9,FALSE),"ค่อนข้างสูง","สูง")))),IF(J21&lt;=VLOOKUP(F21,'เกณฑ์ส่วนสูง'!A5:U19,13,FALSE),"เตี้ย",IF(J21&lt;=VLOOKUP(F21,'เกณฑ์ส่วนสูง'!A5:U19,15,FALSE),"ค่อนข้างเตี้ย",IF(J21&lt;=VLOOKUP(F21,'เกณฑ์ส่วนสูง'!A5:U19,17,FALSE),"ส่วนสูงตามเกณฑ์",IF(J21&lt;=VLOOKUP(F21,'เกณฑ์ส่วนสูง'!A5:U19,19,FALSE),"ค่อนข้างสูง","สูง"))))))</f>
        <v>ส่วนสูงตามเกณฑ์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7.0" customHeight="1">
      <c r="A22" s="27">
        <v>16.0</v>
      </c>
      <c r="B22" s="18" t="str">
        <f>'ข้อมูล'!C20</f>
        <v>ด.ญ.ห้องเรียน วิชาการ</v>
      </c>
      <c r="C22" s="27" t="str">
        <f>'ข้อมูล'!D20</f>
        <v>หญิง</v>
      </c>
      <c r="D22" s="15">
        <f>'ข้อมูล'!E20</f>
        <v>39862</v>
      </c>
      <c r="E22" s="75">
        <v>45376.0</v>
      </c>
      <c r="F22" s="27">
        <f t="shared" si="1"/>
        <v>15</v>
      </c>
      <c r="G22" s="27">
        <f t="shared" si="2"/>
        <v>1</v>
      </c>
      <c r="H22" s="27">
        <f t="shared" si="3"/>
        <v>7</v>
      </c>
      <c r="I22" s="27">
        <v>46.0</v>
      </c>
      <c r="J22" s="27">
        <v>159.0</v>
      </c>
      <c r="K22" s="28">
        <f t="shared" si="4"/>
        <v>18.19548277</v>
      </c>
      <c r="L22" s="27" t="str">
        <f>IF($B22="","",IF($C22="ชาย",IF(K22&lt;=VLOOKUP(F22,'เกณฑ์ดัชนีมวลกาย'!A5:U19,3,FALSE),"ผอมมาก",IF(K22&lt;=VLOOKUP(F22,'เกณฑ์ดัชนีมวลกาย'!A5:U19,5,FALSE),"ผอม",IF(K22&lt;=VLOOKUP(F22,'เกณฑ์ดัชนีมวลกาย'!A5:U19,7,FALSE),"สมส่วน",IF(K22&lt;=VLOOKUP(F22,'เกณฑ์ดัชนีมวลกาย'!A5:U19,9,FALSE),"ท้วม","อ้วน")))),IF(K22&lt;=VLOOKUP(F22,'เกณฑ์ดัชนีมวลกาย'!A5:U19,13,FALSE),"ผอมมาก",IF(K22&lt;=VLOOKUP(F22,'เกณฑ์ดัชนีมวลกาย'!A5:U19,15,FALSE),"ผอม",IF(K22&lt;=VLOOKUP(F22,'เกณฑ์ดัชนีมวลกาย'!A5:U19,17,FALSE),"สมส่วน",IF(K22&lt;=VLOOKUP(F22,'เกณฑ์ดัชนีมวลกาย'!A5:U19,19,FALSE),"ท้วม","อ้วน"))))))</f>
        <v>ผอม</v>
      </c>
      <c r="M22" s="27" t="str">
        <f>IF($B22="","",IF($C22="ชาย",IF(J22&lt;=VLOOKUP(F22,'เกณฑ์ส่วนสูง'!A5:U19,3,FALSE),"เตี้ย",IF(J22&lt;=VLOOKUP(F22,'เกณฑ์ส่วนสูง'!A5:U19,5,FALSE),"ค่อนข้างเตี้ย",IF(J22&lt;=VLOOKUP(F22,'เกณฑ์ส่วนสูง'!A5:U19,7,FALSE),"ส่วนสูงตามเกณฑ์",IF(J22&lt;=VLOOKUP(F22,'เกณฑ์ส่วนสูง'!A5:U19,9,FALSE),"ค่อนข้างสูง","สูง")))),IF(J22&lt;=VLOOKUP(F22,'เกณฑ์ส่วนสูง'!A5:U19,13,FALSE),"เตี้ย",IF(J22&lt;=VLOOKUP(F22,'เกณฑ์ส่วนสูง'!A5:U19,15,FALSE),"ค่อนข้างเตี้ย",IF(J22&lt;=VLOOKUP(F22,'เกณฑ์ส่วนสูง'!A5:U19,17,FALSE),"ส่วนสูงตามเกณฑ์",IF(J22&lt;=VLOOKUP(F22,'เกณฑ์ส่วนสูง'!A5:U19,19,FALSE),"ค่อนข้างสูง","สูง"))))))</f>
        <v>ส่วนสูงตามเกณฑ์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7.0" customHeight="1">
      <c r="A23" s="27">
        <v>17.0</v>
      </c>
      <c r="B23" s="18" t="str">
        <f>'ข้อมูล'!C21</f>
        <v>ด.ญ.ห้องเรียน วิชาการ</v>
      </c>
      <c r="C23" s="27" t="str">
        <f>'ข้อมูล'!D21</f>
        <v>หญิง</v>
      </c>
      <c r="D23" s="15">
        <f>'ข้อมูล'!E21</f>
        <v>39863</v>
      </c>
      <c r="E23" s="75">
        <v>45376.0</v>
      </c>
      <c r="F23" s="27">
        <f t="shared" si="1"/>
        <v>15</v>
      </c>
      <c r="G23" s="27">
        <f t="shared" si="2"/>
        <v>1</v>
      </c>
      <c r="H23" s="27">
        <f t="shared" si="3"/>
        <v>6</v>
      </c>
      <c r="I23" s="27">
        <v>46.0</v>
      </c>
      <c r="J23" s="27">
        <v>159.0</v>
      </c>
      <c r="K23" s="28">
        <f t="shared" si="4"/>
        <v>18.19548277</v>
      </c>
      <c r="L23" s="27" t="str">
        <f>IF($B23="","",IF($C23="ชาย",IF(K23&lt;=VLOOKUP(F23,'เกณฑ์ดัชนีมวลกาย'!A5:U19,3,FALSE),"ผอมมาก",IF(K23&lt;=VLOOKUP(F23,'เกณฑ์ดัชนีมวลกาย'!A5:U19,5,FALSE),"ผอม",IF(K23&lt;=VLOOKUP(F23,'เกณฑ์ดัชนีมวลกาย'!A5:U19,7,FALSE),"สมส่วน",IF(K23&lt;=VLOOKUP(F23,'เกณฑ์ดัชนีมวลกาย'!A5:U19,9,FALSE),"ท้วม","อ้วน")))),IF(K23&lt;=VLOOKUP(F23,'เกณฑ์ดัชนีมวลกาย'!A5:U19,13,FALSE),"ผอมมาก",IF(K23&lt;=VLOOKUP(F23,'เกณฑ์ดัชนีมวลกาย'!A5:U19,15,FALSE),"ผอม",IF(K23&lt;=VLOOKUP(F23,'เกณฑ์ดัชนีมวลกาย'!A5:U19,17,FALSE),"สมส่วน",IF(K23&lt;=VLOOKUP(F23,'เกณฑ์ดัชนีมวลกาย'!A5:U19,19,FALSE),"ท้วม","อ้วน"))))))</f>
        <v>ผอม</v>
      </c>
      <c r="M23" s="27" t="str">
        <f>IF($B23="","",IF($C23="ชาย",IF(J23&lt;=VLOOKUP(F23,'เกณฑ์ส่วนสูง'!A5:U19,3,FALSE),"เตี้ย",IF(J23&lt;=VLOOKUP(F23,'เกณฑ์ส่วนสูง'!A5:U19,5,FALSE),"ค่อนข้างเตี้ย",IF(J23&lt;=VLOOKUP(F23,'เกณฑ์ส่วนสูง'!A5:U19,7,FALSE),"ส่วนสูงตามเกณฑ์",IF(J23&lt;=VLOOKUP(F23,'เกณฑ์ส่วนสูง'!A5:U19,9,FALSE),"ค่อนข้างสูง","สูง")))),IF(J23&lt;=VLOOKUP(F23,'เกณฑ์ส่วนสูง'!A5:U19,13,FALSE),"เตี้ย",IF(J23&lt;=VLOOKUP(F23,'เกณฑ์ส่วนสูง'!A5:U19,15,FALSE),"ค่อนข้างเตี้ย",IF(J23&lt;=VLOOKUP(F23,'เกณฑ์ส่วนสูง'!A5:U19,17,FALSE),"ส่วนสูงตามเกณฑ์",IF(J23&lt;=VLOOKUP(F23,'เกณฑ์ส่วนสูง'!A5:U19,19,FALSE),"ค่อนข้างสูง","สูง"))))))</f>
        <v>ส่วนสูงตามเกณฑ์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7.0" hidden="1" customHeight="1">
      <c r="A24" s="27">
        <v>18.0</v>
      </c>
      <c r="B24" s="18" t="str">
        <f>'ข้อมูล'!C22</f>
        <v/>
      </c>
      <c r="C24" s="27" t="str">
        <f>'ข้อมูล'!D22</f>
        <v/>
      </c>
      <c r="D24" s="15"/>
      <c r="E24" s="15"/>
      <c r="F24" s="27">
        <f t="shared" si="1"/>
        <v>0</v>
      </c>
      <c r="G24" s="27">
        <f t="shared" si="2"/>
        <v>0</v>
      </c>
      <c r="H24" s="27">
        <f t="shared" si="3"/>
        <v>0</v>
      </c>
      <c r="I24" s="27"/>
      <c r="J24" s="27"/>
      <c r="K24" s="28" t="str">
        <f t="shared" si="4"/>
        <v/>
      </c>
      <c r="L24" s="27" t="str">
        <f>IF($B24="","",IF($C24="ชาย",IF(K24&lt;=VLOOKUP(F24,'เกณฑ์ดัชนีมวลกาย'!A5:U19,3,FALSE),"ผอมมาก",IF(K24&lt;=VLOOKUP(F24,'เกณฑ์ดัชนีมวลกาย'!A5:U19,5,FALSE),"ผอม",IF(K24&lt;=VLOOKUP(F24,'เกณฑ์ดัชนีมวลกาย'!A5:U19,7,FALSE),"สมส่วน",IF(K24&lt;=VLOOKUP(F24,'เกณฑ์ดัชนีมวลกาย'!A5:U19,9,FALSE),"ท้วม","อ้วน")))),IF(K24&lt;=VLOOKUP(F24,'เกณฑ์ดัชนีมวลกาย'!A5:U19,13,FALSE),"ผอมมาก",IF(K24&lt;=VLOOKUP(F24,'เกณฑ์ดัชนีมวลกาย'!A5:U19,15,FALSE),"ผอม",IF(K24&lt;=VLOOKUP(F24,'เกณฑ์ดัชนีมวลกาย'!A5:U19,17,FALSE),"สมส่วน",IF(K24&lt;=VLOOKUP(F24,'เกณฑ์ดัชนีมวลกาย'!A5:U19,19,FALSE),"ท้วม","อ้วน"))))))</f>
        <v/>
      </c>
      <c r="M24" s="27" t="str">
        <f>IF($B24="","",IF($C24="ชาย",IF(J24&lt;=VLOOKUP(F24,'เกณฑ์ส่วนสูง'!A5:U19,3,FALSE),"เตี้ย",IF(J24&lt;=VLOOKUP(F24,'เกณฑ์ส่วนสูง'!A5:U19,5,FALSE),"ค่อนข้างเตี้ย",IF(J24&lt;=VLOOKUP(F24,'เกณฑ์ส่วนสูง'!A5:U19,7,FALSE),"ส่วนสูงตามเกณฑ์",IF(J24&lt;=VLOOKUP(F24,'เกณฑ์ส่วนสูง'!A5:U19,9,FALSE),"ค่อนข้างสูง","สูง")))),IF(J24&lt;=VLOOKUP(F24,'เกณฑ์ส่วนสูง'!A5:U19,13,FALSE),"เตี้ย",IF(J24&lt;=VLOOKUP(F24,'เกณฑ์ส่วนสูง'!A5:U19,15,FALSE),"ค่อนข้างเตี้ย",IF(J24&lt;=VLOOKUP(F24,'เกณฑ์ส่วนสูง'!A5:U19,17,FALSE),"ส่วนสูงตามเกณฑ์",IF(J24&lt;=VLOOKUP(F24,'เกณฑ์ส่วนสูง'!A5:U19,19,FALSE),"ค่อนข้างสูง","สูง"))))))</f>
        <v/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7.0" hidden="1" customHeight="1">
      <c r="A25" s="27">
        <v>19.0</v>
      </c>
      <c r="B25" s="18" t="str">
        <f>'ข้อมูล'!C23</f>
        <v/>
      </c>
      <c r="C25" s="27" t="str">
        <f>'ข้อมูล'!D23</f>
        <v/>
      </c>
      <c r="D25" s="15"/>
      <c r="E25" s="15"/>
      <c r="F25" s="27">
        <f t="shared" si="1"/>
        <v>0</v>
      </c>
      <c r="G25" s="27">
        <f t="shared" si="2"/>
        <v>0</v>
      </c>
      <c r="H25" s="27">
        <f t="shared" si="3"/>
        <v>0</v>
      </c>
      <c r="I25" s="27"/>
      <c r="J25" s="27"/>
      <c r="K25" s="28" t="str">
        <f t="shared" si="4"/>
        <v/>
      </c>
      <c r="L25" s="27" t="str">
        <f>IF($B25="","",IF($C25="ชาย",IF(K25&lt;=VLOOKUP(F25,'เกณฑ์ดัชนีมวลกาย'!A5:U19,3,FALSE),"ผอมมาก",IF(K25&lt;=VLOOKUP(F25,'เกณฑ์ดัชนีมวลกาย'!A5:U19,5,FALSE),"ผอม",IF(K25&lt;=VLOOKUP(F25,'เกณฑ์ดัชนีมวลกาย'!A5:U19,7,FALSE),"สมส่วน",IF(K25&lt;=VLOOKUP(F25,'เกณฑ์ดัชนีมวลกาย'!A5:U19,9,FALSE),"ท้วม","อ้วน")))),IF(K25&lt;=VLOOKUP(F25,'เกณฑ์ดัชนีมวลกาย'!A5:U19,13,FALSE),"ผอมมาก",IF(K25&lt;=VLOOKUP(F25,'เกณฑ์ดัชนีมวลกาย'!A5:U19,15,FALSE),"ผอม",IF(K25&lt;=VLOOKUP(F25,'เกณฑ์ดัชนีมวลกาย'!A5:U19,17,FALSE),"สมส่วน",IF(K25&lt;=VLOOKUP(F25,'เกณฑ์ดัชนีมวลกาย'!A5:U19,19,FALSE),"ท้วม","อ้วน"))))))</f>
        <v/>
      </c>
      <c r="M25" s="27" t="str">
        <f>IF($B25="","",IF($C25="ชาย",IF(J25&lt;=VLOOKUP(F25,'เกณฑ์ส่วนสูง'!A5:U19,3,FALSE),"เตี้ย",IF(J25&lt;=VLOOKUP(F25,'เกณฑ์ส่วนสูง'!A5:U19,5,FALSE),"ค่อนข้างเตี้ย",IF(J25&lt;=VLOOKUP(F25,'เกณฑ์ส่วนสูง'!A5:U19,7,FALSE),"ส่วนสูงตามเกณฑ์",IF(J25&lt;=VLOOKUP(F25,'เกณฑ์ส่วนสูง'!A5:U19,9,FALSE),"ค่อนข้างสูง","สูง")))),IF(J25&lt;=VLOOKUP(F25,'เกณฑ์ส่วนสูง'!A5:U19,13,FALSE),"เตี้ย",IF(J25&lt;=VLOOKUP(F25,'เกณฑ์ส่วนสูง'!A5:U19,15,FALSE),"ค่อนข้างเตี้ย",IF(J25&lt;=VLOOKUP(F25,'เกณฑ์ส่วนสูง'!A5:U19,17,FALSE),"ส่วนสูงตามเกณฑ์",IF(J25&lt;=VLOOKUP(F25,'เกณฑ์ส่วนสูง'!A5:U19,19,FALSE),"ค่อนข้างสูง","สูง"))))))</f>
        <v/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7.0" hidden="1" customHeight="1">
      <c r="A26" s="27">
        <v>20.0</v>
      </c>
      <c r="B26" s="18" t="str">
        <f>'ข้อมูล'!C24</f>
        <v/>
      </c>
      <c r="C26" s="27" t="str">
        <f>'ข้อมูล'!D24</f>
        <v/>
      </c>
      <c r="D26" s="15"/>
      <c r="E26" s="15"/>
      <c r="F26" s="27">
        <f t="shared" si="1"/>
        <v>0</v>
      </c>
      <c r="G26" s="27">
        <f t="shared" si="2"/>
        <v>0</v>
      </c>
      <c r="H26" s="27">
        <f t="shared" si="3"/>
        <v>0</v>
      </c>
      <c r="I26" s="27"/>
      <c r="J26" s="27"/>
      <c r="K26" s="28" t="str">
        <f t="shared" si="4"/>
        <v/>
      </c>
      <c r="L26" s="27" t="str">
        <f>IF($B26="","",IF($C26="ชาย",IF(K26&lt;=VLOOKUP(F26,'เกณฑ์ดัชนีมวลกาย'!A5:U19,3,FALSE),"ผอมมาก",IF(K26&lt;=VLOOKUP(F26,'เกณฑ์ดัชนีมวลกาย'!A5:U19,5,FALSE),"ผอม",IF(K26&lt;=VLOOKUP(F26,'เกณฑ์ดัชนีมวลกาย'!A5:U19,7,FALSE),"สมส่วน",IF(K26&lt;=VLOOKUP(F26,'เกณฑ์ดัชนีมวลกาย'!A5:U19,9,FALSE),"ท้วม","อ้วน")))),IF(K26&lt;=VLOOKUP(F26,'เกณฑ์ดัชนีมวลกาย'!A5:U19,13,FALSE),"ผอมมาก",IF(K26&lt;=VLOOKUP(F26,'เกณฑ์ดัชนีมวลกาย'!A5:U19,15,FALSE),"ผอม",IF(K26&lt;=VLOOKUP(F26,'เกณฑ์ดัชนีมวลกาย'!A5:U19,17,FALSE),"สมส่วน",IF(K26&lt;=VLOOKUP(F26,'เกณฑ์ดัชนีมวลกาย'!A5:U19,19,FALSE),"ท้วม","อ้วน"))))))</f>
        <v/>
      </c>
      <c r="M26" s="27" t="str">
        <f>IF($B26="","",IF($C26="ชาย",IF(J26&lt;=VLOOKUP(F26,'เกณฑ์ส่วนสูง'!A5:U19,3,FALSE),"เตี้ย",IF(J26&lt;=VLOOKUP(F26,'เกณฑ์ส่วนสูง'!A5:U19,5,FALSE),"ค่อนข้างเตี้ย",IF(J26&lt;=VLOOKUP(F26,'เกณฑ์ส่วนสูง'!A5:U19,7,FALSE),"ส่วนสูงตามเกณฑ์",IF(J26&lt;=VLOOKUP(F26,'เกณฑ์ส่วนสูง'!A5:U19,9,FALSE),"ค่อนข้างสูง","สูง")))),IF(J26&lt;=VLOOKUP(F26,'เกณฑ์ส่วนสูง'!A5:U19,13,FALSE),"เตี้ย",IF(J26&lt;=VLOOKUP(F26,'เกณฑ์ส่วนสูง'!A5:U19,15,FALSE),"ค่อนข้างเตี้ย",IF(J26&lt;=VLOOKUP(F26,'เกณฑ์ส่วนสูง'!A5:U19,17,FALSE),"ส่วนสูงตามเกณฑ์",IF(J26&lt;=VLOOKUP(F26,'เกณฑ์ส่วนสูง'!A5:U19,19,FALSE),"ค่อนข้างสูง","สูง"))))))</f>
        <v/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7.0" hidden="1" customHeight="1">
      <c r="A27" s="27">
        <v>21.0</v>
      </c>
      <c r="B27" s="18" t="str">
        <f>'ข้อมูล'!C25</f>
        <v/>
      </c>
      <c r="C27" s="27" t="str">
        <f>'ข้อมูล'!D25</f>
        <v/>
      </c>
      <c r="D27" s="15"/>
      <c r="E27" s="15"/>
      <c r="F27" s="27">
        <f t="shared" si="1"/>
        <v>0</v>
      </c>
      <c r="G27" s="27">
        <f t="shared" si="2"/>
        <v>0</v>
      </c>
      <c r="H27" s="27">
        <f t="shared" si="3"/>
        <v>0</v>
      </c>
      <c r="I27" s="27"/>
      <c r="J27" s="27"/>
      <c r="K27" s="28" t="str">
        <f t="shared" si="4"/>
        <v/>
      </c>
      <c r="L27" s="27" t="str">
        <f>IF($B27="","",IF($C27="ชาย",IF(K27&lt;=VLOOKUP(F27,'เกณฑ์ดัชนีมวลกาย'!A5:U19,3,FALSE),"ผอมมาก",IF(K27&lt;=VLOOKUP(F27,'เกณฑ์ดัชนีมวลกาย'!A5:U19,5,FALSE),"ผอม",IF(K27&lt;=VLOOKUP(F27,'เกณฑ์ดัชนีมวลกาย'!A5:U19,7,FALSE),"สมส่วน",IF(K27&lt;=VLOOKUP(F27,'เกณฑ์ดัชนีมวลกาย'!A5:U19,9,FALSE),"ท้วม","อ้วน")))),IF(K27&lt;=VLOOKUP(F27,'เกณฑ์ดัชนีมวลกาย'!A5:U19,13,FALSE),"ผอมมาก",IF(K27&lt;=VLOOKUP(F27,'เกณฑ์ดัชนีมวลกาย'!A5:U19,15,FALSE),"ผอม",IF(K27&lt;=VLOOKUP(F27,'เกณฑ์ดัชนีมวลกาย'!A5:U19,17,FALSE),"สมส่วน",IF(K27&lt;=VLOOKUP(F27,'เกณฑ์ดัชนีมวลกาย'!A5:U19,19,FALSE),"ท้วม","อ้วน"))))))</f>
        <v/>
      </c>
      <c r="M27" s="27" t="str">
        <f>IF($B27="","",IF($C27="ชาย",IF(J27&lt;=VLOOKUP(F27,'เกณฑ์ส่วนสูง'!A5:U19,3,FALSE),"เตี้ย",IF(J27&lt;=VLOOKUP(F27,'เกณฑ์ส่วนสูง'!A5:U19,5,FALSE),"ค่อนข้างเตี้ย",IF(J27&lt;=VLOOKUP(F27,'เกณฑ์ส่วนสูง'!A5:U19,7,FALSE),"ส่วนสูงตามเกณฑ์",IF(J27&lt;=VLOOKUP(F27,'เกณฑ์ส่วนสูง'!A5:U19,9,FALSE),"ค่อนข้างสูง","สูง")))),IF(J27&lt;=VLOOKUP(F27,'เกณฑ์ส่วนสูง'!A5:U19,13,FALSE),"เตี้ย",IF(J27&lt;=VLOOKUP(F27,'เกณฑ์ส่วนสูง'!A5:U19,15,FALSE),"ค่อนข้างเตี้ย",IF(J27&lt;=VLOOKUP(F27,'เกณฑ์ส่วนสูง'!A5:U19,17,FALSE),"ส่วนสูงตามเกณฑ์",IF(J27&lt;=VLOOKUP(F27,'เกณฑ์ส่วนสูง'!A5:U19,19,FALSE),"ค่อนข้างสูง","สูง"))))))</f>
        <v/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7.0" hidden="1" customHeight="1">
      <c r="A28" s="27">
        <v>22.0</v>
      </c>
      <c r="B28" s="18" t="str">
        <f>'ข้อมูล'!C26</f>
        <v/>
      </c>
      <c r="C28" s="27" t="str">
        <f>'ข้อมูล'!D26</f>
        <v/>
      </c>
      <c r="D28" s="15"/>
      <c r="E28" s="15"/>
      <c r="F28" s="27">
        <f t="shared" si="1"/>
        <v>0</v>
      </c>
      <c r="G28" s="27">
        <f t="shared" si="2"/>
        <v>0</v>
      </c>
      <c r="H28" s="27">
        <f t="shared" si="3"/>
        <v>0</v>
      </c>
      <c r="I28" s="27"/>
      <c r="J28" s="27"/>
      <c r="K28" s="28" t="str">
        <f t="shared" si="4"/>
        <v/>
      </c>
      <c r="L28" s="27" t="str">
        <f>IF($B28="","",IF($C28="ชาย",IF(K28&lt;=VLOOKUP(F28,'เกณฑ์ดัชนีมวลกาย'!A5:U19,3,FALSE),"ผอมมาก",IF(K28&lt;=VLOOKUP(F28,'เกณฑ์ดัชนีมวลกาย'!A5:U19,5,FALSE),"ผอม",IF(K28&lt;=VLOOKUP(F28,'เกณฑ์ดัชนีมวลกาย'!A5:U19,7,FALSE),"สมส่วน",IF(K28&lt;=VLOOKUP(F28,'เกณฑ์ดัชนีมวลกาย'!A5:U19,9,FALSE),"ท้วม","อ้วน")))),IF(K28&lt;=VLOOKUP(F28,'เกณฑ์ดัชนีมวลกาย'!A5:U19,13,FALSE),"ผอมมาก",IF(K28&lt;=VLOOKUP(F28,'เกณฑ์ดัชนีมวลกาย'!A5:U19,15,FALSE),"ผอม",IF(K28&lt;=VLOOKUP(F28,'เกณฑ์ดัชนีมวลกาย'!A5:U19,17,FALSE),"สมส่วน",IF(K28&lt;=VLOOKUP(F28,'เกณฑ์ดัชนีมวลกาย'!A5:U19,19,FALSE),"ท้วม","อ้วน"))))))</f>
        <v/>
      </c>
      <c r="M28" s="27" t="str">
        <f>IF($B28="","",IF($C28="ชาย",IF(J28&lt;=VLOOKUP(F28,'เกณฑ์ส่วนสูง'!A5:U19,3,FALSE),"เตี้ย",IF(J28&lt;=VLOOKUP(F28,'เกณฑ์ส่วนสูง'!A5:U19,5,FALSE),"ค่อนข้างเตี้ย",IF(J28&lt;=VLOOKUP(F28,'เกณฑ์ส่วนสูง'!A5:U19,7,FALSE),"ส่วนสูงตามเกณฑ์",IF(J28&lt;=VLOOKUP(F28,'เกณฑ์ส่วนสูง'!A5:U19,9,FALSE),"ค่อนข้างสูง","สูง")))),IF(J28&lt;=VLOOKUP(F28,'เกณฑ์ส่วนสูง'!A5:U19,13,FALSE),"เตี้ย",IF(J28&lt;=VLOOKUP(F28,'เกณฑ์ส่วนสูง'!A5:U19,15,FALSE),"ค่อนข้างเตี้ย",IF(J28&lt;=VLOOKUP(F28,'เกณฑ์ส่วนสูง'!A5:U19,17,FALSE),"ส่วนสูงตามเกณฑ์",IF(J28&lt;=VLOOKUP(F28,'เกณฑ์ส่วนสูง'!A5:U19,19,FALSE),"ค่อนข้างสูง","สูง"))))))</f>
        <v/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7.0" hidden="1" customHeight="1">
      <c r="A29" s="27">
        <v>23.0</v>
      </c>
      <c r="B29" s="18" t="str">
        <f>'ข้อมูล'!C27</f>
        <v/>
      </c>
      <c r="C29" s="27" t="str">
        <f>'ข้อมูล'!D27</f>
        <v/>
      </c>
      <c r="D29" s="15"/>
      <c r="E29" s="15"/>
      <c r="F29" s="27">
        <f t="shared" si="1"/>
        <v>0</v>
      </c>
      <c r="G29" s="27">
        <f t="shared" si="2"/>
        <v>0</v>
      </c>
      <c r="H29" s="27">
        <f t="shared" si="3"/>
        <v>0</v>
      </c>
      <c r="I29" s="27"/>
      <c r="J29" s="27"/>
      <c r="K29" s="28" t="str">
        <f t="shared" si="4"/>
        <v/>
      </c>
      <c r="L29" s="27" t="str">
        <f>IF($B29="","",IF($C29="ชาย",IF(K29&lt;=VLOOKUP(F29,'เกณฑ์ดัชนีมวลกาย'!A5:U19,3,FALSE),"ผอมมาก",IF(K29&lt;=VLOOKUP(F29,'เกณฑ์ดัชนีมวลกาย'!A5:U19,5,FALSE),"ผอม",IF(K29&lt;=VLOOKUP(F29,'เกณฑ์ดัชนีมวลกาย'!A5:U19,7,FALSE),"สมส่วน",IF(K29&lt;=VLOOKUP(F29,'เกณฑ์ดัชนีมวลกาย'!A5:U19,9,FALSE),"ท้วม","อ้วน")))),IF(K29&lt;=VLOOKUP(F29,'เกณฑ์ดัชนีมวลกาย'!A5:U19,13,FALSE),"ผอมมาก",IF(K29&lt;=VLOOKUP(F29,'เกณฑ์ดัชนีมวลกาย'!A5:U19,15,FALSE),"ผอม",IF(K29&lt;=VLOOKUP(F29,'เกณฑ์ดัชนีมวลกาย'!A5:U19,17,FALSE),"สมส่วน",IF(K29&lt;=VLOOKUP(F29,'เกณฑ์ดัชนีมวลกาย'!A5:U19,19,FALSE),"ท้วม","อ้วน"))))))</f>
        <v/>
      </c>
      <c r="M29" s="27" t="str">
        <f>IF($B29="","",IF($C29="ชาย",IF(J29&lt;=VLOOKUP(F29,'เกณฑ์ส่วนสูง'!A5:U19,3,FALSE),"เตี้ย",IF(J29&lt;=VLOOKUP(F29,'เกณฑ์ส่วนสูง'!A5:U19,5,FALSE),"ค่อนข้างเตี้ย",IF(J29&lt;=VLOOKUP(F29,'เกณฑ์ส่วนสูง'!A5:U19,7,FALSE),"ส่วนสูงตามเกณฑ์",IF(J29&lt;=VLOOKUP(F29,'เกณฑ์ส่วนสูง'!A5:U19,9,FALSE),"ค่อนข้างสูง","สูง")))),IF(J29&lt;=VLOOKUP(F29,'เกณฑ์ส่วนสูง'!A5:U19,13,FALSE),"เตี้ย",IF(J29&lt;=VLOOKUP(F29,'เกณฑ์ส่วนสูง'!A5:U19,15,FALSE),"ค่อนข้างเตี้ย",IF(J29&lt;=VLOOKUP(F29,'เกณฑ์ส่วนสูง'!A5:U19,17,FALSE),"ส่วนสูงตามเกณฑ์",IF(J29&lt;=VLOOKUP(F29,'เกณฑ์ส่วนสูง'!A5:U19,19,FALSE),"ค่อนข้างสูง","สูง"))))))</f>
        <v/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7.0" hidden="1" customHeight="1">
      <c r="A30" s="27">
        <v>24.0</v>
      </c>
      <c r="B30" s="18" t="str">
        <f>'ข้อมูล'!C28</f>
        <v/>
      </c>
      <c r="C30" s="27" t="str">
        <f>'ข้อมูล'!D28</f>
        <v/>
      </c>
      <c r="D30" s="15"/>
      <c r="E30" s="15"/>
      <c r="F30" s="27">
        <f t="shared" si="1"/>
        <v>0</v>
      </c>
      <c r="G30" s="27">
        <f t="shared" si="2"/>
        <v>0</v>
      </c>
      <c r="H30" s="27">
        <f t="shared" si="3"/>
        <v>0</v>
      </c>
      <c r="I30" s="27"/>
      <c r="J30" s="27"/>
      <c r="K30" s="28" t="str">
        <f t="shared" si="4"/>
        <v/>
      </c>
      <c r="L30" s="27" t="str">
        <f>IF($B30="","",IF($C30="ชาย",IF(K30&lt;=VLOOKUP(F30,'เกณฑ์ดัชนีมวลกาย'!A5:U19,3,FALSE),"ผอมมาก",IF(K30&lt;=VLOOKUP(F30,'เกณฑ์ดัชนีมวลกาย'!A5:U19,5,FALSE),"ผอม",IF(K30&lt;=VLOOKUP(F30,'เกณฑ์ดัชนีมวลกาย'!A5:U19,7,FALSE),"สมส่วน",IF(K30&lt;=VLOOKUP(F30,'เกณฑ์ดัชนีมวลกาย'!A5:U19,9,FALSE),"ท้วม","อ้วน")))),IF(K30&lt;=VLOOKUP(F30,'เกณฑ์ดัชนีมวลกาย'!A5:U19,13,FALSE),"ผอมมาก",IF(K30&lt;=VLOOKUP(F30,'เกณฑ์ดัชนีมวลกาย'!A5:U19,15,FALSE),"ผอม",IF(K30&lt;=VLOOKUP(F30,'เกณฑ์ดัชนีมวลกาย'!A5:U19,17,FALSE),"สมส่วน",IF(K30&lt;=VLOOKUP(F30,'เกณฑ์ดัชนีมวลกาย'!A5:U19,19,FALSE),"ท้วม","อ้วน"))))))</f>
        <v/>
      </c>
      <c r="M30" s="27" t="str">
        <f>IF($B30="","",IF($C30="ชาย",IF(J30&lt;=VLOOKUP(F30,'เกณฑ์ส่วนสูง'!A5:U19,3,FALSE),"เตี้ย",IF(J30&lt;=VLOOKUP(F30,'เกณฑ์ส่วนสูง'!A5:U19,5,FALSE),"ค่อนข้างเตี้ย",IF(J30&lt;=VLOOKUP(F30,'เกณฑ์ส่วนสูง'!A5:U19,7,FALSE),"ส่วนสูงตามเกณฑ์",IF(J30&lt;=VLOOKUP(F30,'เกณฑ์ส่วนสูง'!A5:U19,9,FALSE),"ค่อนข้างสูง","สูง")))),IF(J30&lt;=VLOOKUP(F30,'เกณฑ์ส่วนสูง'!A5:U19,13,FALSE),"เตี้ย",IF(J30&lt;=VLOOKUP(F30,'เกณฑ์ส่วนสูง'!A5:U19,15,FALSE),"ค่อนข้างเตี้ย",IF(J30&lt;=VLOOKUP(F30,'เกณฑ์ส่วนสูง'!A5:U19,17,FALSE),"ส่วนสูงตามเกณฑ์",IF(J30&lt;=VLOOKUP(F30,'เกณฑ์ส่วนสูง'!A5:U19,19,FALSE),"ค่อนข้างสูง","สูง"))))))</f>
        <v/>
      </c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7.0" hidden="1" customHeight="1">
      <c r="A31" s="27">
        <v>25.0</v>
      </c>
      <c r="B31" s="18" t="str">
        <f>'ข้อมูล'!C29</f>
        <v/>
      </c>
      <c r="C31" s="27" t="str">
        <f>'ข้อมูล'!D29</f>
        <v/>
      </c>
      <c r="D31" s="15"/>
      <c r="E31" s="15"/>
      <c r="F31" s="27">
        <f t="shared" si="1"/>
        <v>0</v>
      </c>
      <c r="G31" s="27">
        <f t="shared" si="2"/>
        <v>0</v>
      </c>
      <c r="H31" s="27">
        <f t="shared" si="3"/>
        <v>0</v>
      </c>
      <c r="I31" s="27"/>
      <c r="J31" s="27"/>
      <c r="K31" s="28" t="str">
        <f t="shared" si="4"/>
        <v/>
      </c>
      <c r="L31" s="27" t="str">
        <f>IF($B31="","",IF($C31="ชาย",IF(K31&lt;=VLOOKUP(F31,'เกณฑ์ดัชนีมวลกาย'!A5:U19,3,FALSE),"ผอมมาก",IF(K31&lt;=VLOOKUP(F31,'เกณฑ์ดัชนีมวลกาย'!A5:U19,5,FALSE),"ผอม",IF(K31&lt;=VLOOKUP(F31,'เกณฑ์ดัชนีมวลกาย'!A5:U19,7,FALSE),"สมส่วน",IF(K31&lt;=VLOOKUP(F31,'เกณฑ์ดัชนีมวลกาย'!A5:U19,9,FALSE),"ท้วม","อ้วน")))),IF(K31&lt;=VLOOKUP(F31,'เกณฑ์ดัชนีมวลกาย'!A5:U19,13,FALSE),"ผอมมาก",IF(K31&lt;=VLOOKUP(F31,'เกณฑ์ดัชนีมวลกาย'!A5:U19,15,FALSE),"ผอม",IF(K31&lt;=VLOOKUP(F31,'เกณฑ์ดัชนีมวลกาย'!A5:U19,17,FALSE),"สมส่วน",IF(K31&lt;=VLOOKUP(F31,'เกณฑ์ดัชนีมวลกาย'!A5:U19,19,FALSE),"ท้วม","อ้วน"))))))</f>
        <v/>
      </c>
      <c r="M31" s="27" t="str">
        <f>IF($B31="","",IF($C31="ชาย",IF(J31&lt;=VLOOKUP(F31,'เกณฑ์ส่วนสูง'!A5:U19,3,FALSE),"เตี้ย",IF(J31&lt;=VLOOKUP(F31,'เกณฑ์ส่วนสูง'!A5:U19,5,FALSE),"ค่อนข้างเตี้ย",IF(J31&lt;=VLOOKUP(F31,'เกณฑ์ส่วนสูง'!A5:U19,7,FALSE),"ส่วนสูงตามเกณฑ์",IF(J31&lt;=VLOOKUP(F31,'เกณฑ์ส่วนสูง'!A5:U19,9,FALSE),"ค่อนข้างสูง","สูง")))),IF(J31&lt;=VLOOKUP(F31,'เกณฑ์ส่วนสูง'!A5:U19,13,FALSE),"เตี้ย",IF(J31&lt;=VLOOKUP(F31,'เกณฑ์ส่วนสูง'!A5:U19,15,FALSE),"ค่อนข้างเตี้ย",IF(J31&lt;=VLOOKUP(F31,'เกณฑ์ส่วนสูง'!A5:U19,17,FALSE),"ส่วนสูงตามเกณฑ์",IF(J31&lt;=VLOOKUP(F31,'เกณฑ์ส่วนสูง'!A5:U19,19,FALSE),"ค่อนข้างสูง","สูง"))))))</f>
        <v/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7.0" hidden="1" customHeight="1">
      <c r="A32" s="27">
        <v>26.0</v>
      </c>
      <c r="B32" s="18" t="str">
        <f>'ข้อมูล'!C30</f>
        <v/>
      </c>
      <c r="C32" s="27" t="str">
        <f>'ข้อมูล'!D30</f>
        <v/>
      </c>
      <c r="D32" s="15"/>
      <c r="E32" s="15"/>
      <c r="F32" s="27">
        <f t="shared" si="1"/>
        <v>0</v>
      </c>
      <c r="G32" s="27">
        <f t="shared" si="2"/>
        <v>0</v>
      </c>
      <c r="H32" s="27">
        <f t="shared" si="3"/>
        <v>0</v>
      </c>
      <c r="I32" s="27"/>
      <c r="J32" s="27"/>
      <c r="K32" s="28" t="str">
        <f t="shared" si="4"/>
        <v/>
      </c>
      <c r="L32" s="27" t="str">
        <f>IF($B32="","",IF($C32="ชาย",IF(K32&lt;=VLOOKUP(F32,'เกณฑ์ดัชนีมวลกาย'!A5:U19,3,FALSE),"ผอมมาก",IF(K32&lt;=VLOOKUP(F32,'เกณฑ์ดัชนีมวลกาย'!A5:U19,5,FALSE),"ผอม",IF(K32&lt;=VLOOKUP(F32,'เกณฑ์ดัชนีมวลกาย'!A5:U19,7,FALSE),"สมส่วน",IF(K32&lt;=VLOOKUP(F32,'เกณฑ์ดัชนีมวลกาย'!A5:U19,9,FALSE),"ท้วม","อ้วน")))),IF(K32&lt;=VLOOKUP(F32,'เกณฑ์ดัชนีมวลกาย'!A5:U19,13,FALSE),"ผอมมาก",IF(K32&lt;=VLOOKUP(F32,'เกณฑ์ดัชนีมวลกาย'!A5:U19,15,FALSE),"ผอม",IF(K32&lt;=VLOOKUP(F32,'เกณฑ์ดัชนีมวลกาย'!A5:U19,17,FALSE),"สมส่วน",IF(K32&lt;=VLOOKUP(F32,'เกณฑ์ดัชนีมวลกาย'!A5:U19,19,FALSE),"ท้วม","อ้วน"))))))</f>
        <v/>
      </c>
      <c r="M32" s="27" t="str">
        <f>IF($B32="","",IF($C32="ชาย",IF(J32&lt;=VLOOKUP(F32,'เกณฑ์ส่วนสูง'!A5:U19,3,FALSE),"เตี้ย",IF(J32&lt;=VLOOKUP(F32,'เกณฑ์ส่วนสูง'!A5:U19,5,FALSE),"ค่อนข้างเตี้ย",IF(J32&lt;=VLOOKUP(F32,'เกณฑ์ส่วนสูง'!A5:U19,7,FALSE),"ส่วนสูงตามเกณฑ์",IF(J32&lt;=VLOOKUP(F32,'เกณฑ์ส่วนสูง'!A5:U19,9,FALSE),"ค่อนข้างสูง","สูง")))),IF(J32&lt;=VLOOKUP(F32,'เกณฑ์ส่วนสูง'!A5:U19,13,FALSE),"เตี้ย",IF(J32&lt;=VLOOKUP(F32,'เกณฑ์ส่วนสูง'!A5:U19,15,FALSE),"ค่อนข้างเตี้ย",IF(J32&lt;=VLOOKUP(F32,'เกณฑ์ส่วนสูง'!A5:U19,17,FALSE),"ส่วนสูงตามเกณฑ์",IF(J32&lt;=VLOOKUP(F32,'เกณฑ์ส่วนสูง'!A5:U19,19,FALSE),"ค่อนข้างสูง","สูง"))))))</f>
        <v/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7.0" hidden="1" customHeight="1">
      <c r="A33" s="27">
        <v>27.0</v>
      </c>
      <c r="B33" s="18" t="str">
        <f>'ข้อมูล'!C31</f>
        <v/>
      </c>
      <c r="C33" s="27" t="str">
        <f>'ข้อมูล'!D31</f>
        <v/>
      </c>
      <c r="D33" s="15"/>
      <c r="E33" s="15"/>
      <c r="F33" s="27">
        <f t="shared" si="1"/>
        <v>0</v>
      </c>
      <c r="G33" s="27">
        <f t="shared" si="2"/>
        <v>0</v>
      </c>
      <c r="H33" s="27">
        <f t="shared" si="3"/>
        <v>0</v>
      </c>
      <c r="I33" s="27"/>
      <c r="J33" s="27"/>
      <c r="K33" s="28" t="str">
        <f t="shared" si="4"/>
        <v/>
      </c>
      <c r="L33" s="27" t="str">
        <f>IF($B33="","",IF($C33="ชาย",IF(K33&lt;=VLOOKUP(F33,'เกณฑ์ดัชนีมวลกาย'!A5:U19,3,FALSE),"ผอมมาก",IF(K33&lt;=VLOOKUP(F33,'เกณฑ์ดัชนีมวลกาย'!A5:U19,5,FALSE),"ผอม",IF(K33&lt;=VLOOKUP(F33,'เกณฑ์ดัชนีมวลกาย'!A5:U19,7,FALSE),"สมส่วน",IF(K33&lt;=VLOOKUP(F33,'เกณฑ์ดัชนีมวลกาย'!A5:U19,9,FALSE),"ท้วม","อ้วน")))),IF(K33&lt;=VLOOKUP(F33,'เกณฑ์ดัชนีมวลกาย'!A5:U19,13,FALSE),"ผอมมาก",IF(K33&lt;=VLOOKUP(F33,'เกณฑ์ดัชนีมวลกาย'!A5:U19,15,FALSE),"ผอม",IF(K33&lt;=VLOOKUP(F33,'เกณฑ์ดัชนีมวลกาย'!A5:U19,17,FALSE),"สมส่วน",IF(K33&lt;=VLOOKUP(F33,'เกณฑ์ดัชนีมวลกาย'!A5:U19,19,FALSE),"ท้วม","อ้วน"))))))</f>
        <v/>
      </c>
      <c r="M33" s="27" t="str">
        <f>IF($B33="","",IF($C33="ชาย",IF(J33&lt;=VLOOKUP(F33,'เกณฑ์ส่วนสูง'!A5:U19,3,FALSE),"เตี้ย",IF(J33&lt;=VLOOKUP(F33,'เกณฑ์ส่วนสูง'!A5:U19,5,FALSE),"ค่อนข้างเตี้ย",IF(J33&lt;=VLOOKUP(F33,'เกณฑ์ส่วนสูง'!A5:U19,7,FALSE),"ส่วนสูงตามเกณฑ์",IF(J33&lt;=VLOOKUP(F33,'เกณฑ์ส่วนสูง'!A5:U19,9,FALSE),"ค่อนข้างสูง","สูง")))),IF(J33&lt;=VLOOKUP(F33,'เกณฑ์ส่วนสูง'!A5:U19,13,FALSE),"เตี้ย",IF(J33&lt;=VLOOKUP(F33,'เกณฑ์ส่วนสูง'!A5:U19,15,FALSE),"ค่อนข้างเตี้ย",IF(J33&lt;=VLOOKUP(F33,'เกณฑ์ส่วนสูง'!A5:U19,17,FALSE),"ส่วนสูงตามเกณฑ์",IF(J33&lt;=VLOOKUP(F33,'เกณฑ์ส่วนสูง'!A5:U19,19,FALSE),"ค่อนข้างสูง","สูง"))))))</f>
        <v/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7.0" hidden="1" customHeight="1">
      <c r="A34" s="27">
        <v>28.0</v>
      </c>
      <c r="B34" s="18" t="str">
        <f>'ข้อมูล'!C32</f>
        <v/>
      </c>
      <c r="C34" s="27" t="str">
        <f>'ข้อมูล'!D32</f>
        <v/>
      </c>
      <c r="D34" s="15"/>
      <c r="E34" s="15"/>
      <c r="F34" s="27">
        <f t="shared" si="1"/>
        <v>0</v>
      </c>
      <c r="G34" s="27">
        <f t="shared" si="2"/>
        <v>0</v>
      </c>
      <c r="H34" s="27">
        <f t="shared" si="3"/>
        <v>0</v>
      </c>
      <c r="I34" s="27"/>
      <c r="J34" s="27"/>
      <c r="K34" s="28" t="str">
        <f t="shared" si="4"/>
        <v/>
      </c>
      <c r="L34" s="27" t="str">
        <f>IF($B34="","",IF($C34="ชาย",IF(K34&lt;=VLOOKUP(F34,'เกณฑ์ดัชนีมวลกาย'!A5:U19,3,FALSE),"ผอมมาก",IF(K34&lt;=VLOOKUP(F34,'เกณฑ์ดัชนีมวลกาย'!A5:U19,5,FALSE),"ผอม",IF(K34&lt;=VLOOKUP(F34,'เกณฑ์ดัชนีมวลกาย'!A5:U19,7,FALSE),"สมส่วน",IF(K34&lt;=VLOOKUP(F34,'เกณฑ์ดัชนีมวลกาย'!A5:U19,9,FALSE),"ท้วม","อ้วน")))),IF(K34&lt;=VLOOKUP(F34,'เกณฑ์ดัชนีมวลกาย'!A5:U19,13,FALSE),"ผอมมาก",IF(K34&lt;=VLOOKUP(F34,'เกณฑ์ดัชนีมวลกาย'!A5:U19,15,FALSE),"ผอม",IF(K34&lt;=VLOOKUP(F34,'เกณฑ์ดัชนีมวลกาย'!A5:U19,17,FALSE),"สมส่วน",IF(K34&lt;=VLOOKUP(F34,'เกณฑ์ดัชนีมวลกาย'!A5:U19,19,FALSE),"ท้วม","อ้วน"))))))</f>
        <v/>
      </c>
      <c r="M34" s="27" t="str">
        <f>IF($B34="","",IF($C34="ชาย",IF(J34&lt;=VLOOKUP(F34,'เกณฑ์ส่วนสูง'!A5:U19,3,FALSE),"เตี้ย",IF(J34&lt;=VLOOKUP(F34,'เกณฑ์ส่วนสูง'!A5:U19,5,FALSE),"ค่อนข้างเตี้ย",IF(J34&lt;=VLOOKUP(F34,'เกณฑ์ส่วนสูง'!A5:U19,7,FALSE),"ส่วนสูงตามเกณฑ์",IF(J34&lt;=VLOOKUP(F34,'เกณฑ์ส่วนสูง'!A5:U19,9,FALSE),"ค่อนข้างสูง","สูง")))),IF(J34&lt;=VLOOKUP(F34,'เกณฑ์ส่วนสูง'!A5:U19,13,FALSE),"เตี้ย",IF(J34&lt;=VLOOKUP(F34,'เกณฑ์ส่วนสูง'!A5:U19,15,FALSE),"ค่อนข้างเตี้ย",IF(J34&lt;=VLOOKUP(F34,'เกณฑ์ส่วนสูง'!A5:U19,17,FALSE),"ส่วนสูงตามเกณฑ์",IF(J34&lt;=VLOOKUP(F34,'เกณฑ์ส่วนสูง'!A5:U19,19,FALSE),"ค่อนข้างสูง","สูง"))))))</f>
        <v/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7.0" hidden="1" customHeight="1">
      <c r="A35" s="27">
        <v>29.0</v>
      </c>
      <c r="B35" s="18" t="str">
        <f>'ข้อมูล'!C33</f>
        <v/>
      </c>
      <c r="C35" s="27" t="str">
        <f>'ข้อมูล'!D33</f>
        <v/>
      </c>
      <c r="D35" s="15"/>
      <c r="E35" s="15"/>
      <c r="F35" s="27">
        <f t="shared" si="1"/>
        <v>0</v>
      </c>
      <c r="G35" s="27">
        <f t="shared" si="2"/>
        <v>0</v>
      </c>
      <c r="H35" s="27">
        <f t="shared" si="3"/>
        <v>0</v>
      </c>
      <c r="I35" s="27"/>
      <c r="J35" s="27"/>
      <c r="K35" s="28" t="str">
        <f t="shared" si="4"/>
        <v/>
      </c>
      <c r="L35" s="27" t="str">
        <f>IF($B35="","",IF($C35="ชาย",IF(K35&lt;=VLOOKUP(F35,'เกณฑ์ดัชนีมวลกาย'!A5:U19,3,FALSE),"ผอมมาก",IF(K35&lt;=VLOOKUP(F35,'เกณฑ์ดัชนีมวลกาย'!A5:U19,5,FALSE),"ผอม",IF(K35&lt;=VLOOKUP(F35,'เกณฑ์ดัชนีมวลกาย'!A5:U19,7,FALSE),"สมส่วน",IF(K35&lt;=VLOOKUP(F35,'เกณฑ์ดัชนีมวลกาย'!A5:U19,9,FALSE),"ท้วม","อ้วน")))),IF(K35&lt;=VLOOKUP(F35,'เกณฑ์ดัชนีมวลกาย'!A5:U19,13,FALSE),"ผอมมาก",IF(K35&lt;=VLOOKUP(F35,'เกณฑ์ดัชนีมวลกาย'!A5:U19,15,FALSE),"ผอม",IF(K35&lt;=VLOOKUP(F35,'เกณฑ์ดัชนีมวลกาย'!A5:U19,17,FALSE),"สมส่วน",IF(K35&lt;=VLOOKUP(F35,'เกณฑ์ดัชนีมวลกาย'!A5:U19,19,FALSE),"ท้วม","อ้วน"))))))</f>
        <v/>
      </c>
      <c r="M35" s="27" t="str">
        <f>IF($B35="","",IF($C35="ชาย",IF(J35&lt;=VLOOKUP(F35,'เกณฑ์ส่วนสูง'!A5:U19,3,FALSE),"เตี้ย",IF(J35&lt;=VLOOKUP(F35,'เกณฑ์ส่วนสูง'!A5:U19,5,FALSE),"ค่อนข้างเตี้ย",IF(J35&lt;=VLOOKUP(F35,'เกณฑ์ส่วนสูง'!A5:U19,7,FALSE),"ส่วนสูงตามเกณฑ์",IF(J35&lt;=VLOOKUP(F35,'เกณฑ์ส่วนสูง'!A5:U19,9,FALSE),"ค่อนข้างสูง","สูง")))),IF(J35&lt;=VLOOKUP(F35,'เกณฑ์ส่วนสูง'!A5:U19,13,FALSE),"เตี้ย",IF(J35&lt;=VLOOKUP(F35,'เกณฑ์ส่วนสูง'!A5:U19,15,FALSE),"ค่อนข้างเตี้ย",IF(J35&lt;=VLOOKUP(F35,'เกณฑ์ส่วนสูง'!A5:U19,17,FALSE),"ส่วนสูงตามเกณฑ์",IF(J35&lt;=VLOOKUP(F35,'เกณฑ์ส่วนสูง'!A5:U19,19,FALSE),"ค่อนข้างสูง","สูง"))))))</f>
        <v/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7.0" hidden="1" customHeight="1">
      <c r="A36" s="27">
        <v>30.0</v>
      </c>
      <c r="B36" s="18" t="str">
        <f>'ข้อมูล'!C34</f>
        <v/>
      </c>
      <c r="C36" s="27" t="str">
        <f>'ข้อมูล'!D34</f>
        <v/>
      </c>
      <c r="D36" s="15"/>
      <c r="E36" s="15"/>
      <c r="F36" s="27">
        <f t="shared" si="1"/>
        <v>0</v>
      </c>
      <c r="G36" s="27">
        <f t="shared" si="2"/>
        <v>0</v>
      </c>
      <c r="H36" s="27">
        <f t="shared" si="3"/>
        <v>0</v>
      </c>
      <c r="I36" s="27"/>
      <c r="J36" s="27"/>
      <c r="K36" s="28" t="str">
        <f t="shared" si="4"/>
        <v/>
      </c>
      <c r="L36" s="27" t="str">
        <f>IF($B36="","",IF($C36="ชาย",IF(K36&lt;=VLOOKUP(F36,'เกณฑ์ดัชนีมวลกาย'!A5:U19,3,FALSE),"ผอมมาก",IF(K36&lt;=VLOOKUP(F36,'เกณฑ์ดัชนีมวลกาย'!A5:U19,5,FALSE),"ผอม",IF(K36&lt;=VLOOKUP(F36,'เกณฑ์ดัชนีมวลกาย'!A5:U19,7,FALSE),"สมส่วน",IF(K36&lt;=VLOOKUP(F36,'เกณฑ์ดัชนีมวลกาย'!A5:U19,9,FALSE),"ท้วม","อ้วน")))),IF(K36&lt;=VLOOKUP(F36,'เกณฑ์ดัชนีมวลกาย'!A5:U19,13,FALSE),"ผอมมาก",IF(K36&lt;=VLOOKUP(F36,'เกณฑ์ดัชนีมวลกาย'!A5:U19,15,FALSE),"ผอม",IF(K36&lt;=VLOOKUP(F36,'เกณฑ์ดัชนีมวลกาย'!A5:U19,17,FALSE),"สมส่วน",IF(K36&lt;=VLOOKUP(F36,'เกณฑ์ดัชนีมวลกาย'!A5:U19,19,FALSE),"ท้วม","อ้วน"))))))</f>
        <v/>
      </c>
      <c r="M36" s="27" t="str">
        <f>IF($B36="","",IF($C36="ชาย",IF(J36&lt;=VLOOKUP(F36,'เกณฑ์ส่วนสูง'!A5:U19,3,FALSE),"เตี้ย",IF(J36&lt;=VLOOKUP(F36,'เกณฑ์ส่วนสูง'!A5:U19,5,FALSE),"ค่อนข้างเตี้ย",IF(J36&lt;=VLOOKUP(F36,'เกณฑ์ส่วนสูง'!A5:U19,7,FALSE),"ส่วนสูงตามเกณฑ์",IF(J36&lt;=VLOOKUP(F36,'เกณฑ์ส่วนสูง'!A5:U19,9,FALSE),"ค่อนข้างสูง","สูง")))),IF(J36&lt;=VLOOKUP(F36,'เกณฑ์ส่วนสูง'!A5:U19,13,FALSE),"เตี้ย",IF(J36&lt;=VLOOKUP(F36,'เกณฑ์ส่วนสูง'!A5:U19,15,FALSE),"ค่อนข้างเตี้ย",IF(J36&lt;=VLOOKUP(F36,'เกณฑ์ส่วนสูง'!A5:U19,17,FALSE),"ส่วนสูงตามเกณฑ์",IF(J36&lt;=VLOOKUP(F36,'เกณฑ์ส่วนสูง'!A5:U19,19,FALSE),"ค่อนข้างสูง","สูง"))))))</f>
        <v/>
      </c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7.0" customHeight="1">
      <c r="A37" s="29"/>
      <c r="B37" s="30" t="s">
        <v>79</v>
      </c>
      <c r="C37" s="31"/>
      <c r="D37" s="32"/>
      <c r="E37" s="32"/>
      <c r="F37" s="29"/>
      <c r="G37" s="29"/>
      <c r="H37" s="29"/>
      <c r="I37" s="29"/>
      <c r="J37" s="29"/>
      <c r="K37" s="33"/>
      <c r="L37" s="29"/>
      <c r="M37" s="2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7.0" customHeight="1">
      <c r="A38" s="29"/>
      <c r="B38" s="16"/>
      <c r="C38" s="29"/>
      <c r="D38" s="34"/>
      <c r="E38" s="34"/>
      <c r="F38" s="29"/>
      <c r="G38" s="29"/>
      <c r="H38" s="29"/>
      <c r="I38" s="29"/>
      <c r="J38" s="29"/>
      <c r="K38" s="33"/>
      <c r="L38" s="29"/>
      <c r="M38" s="2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7.0" customHeight="1">
      <c r="A39" s="29"/>
      <c r="B39" s="7" t="s">
        <v>29</v>
      </c>
      <c r="C39" s="29"/>
      <c r="D39" s="34"/>
      <c r="E39" s="34"/>
      <c r="F39" s="29"/>
      <c r="G39" s="29"/>
      <c r="H39" s="29"/>
      <c r="I39" s="29"/>
      <c r="J39" s="29"/>
      <c r="K39" s="33"/>
      <c r="L39" s="29"/>
      <c r="M39" s="2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0" customHeight="1">
      <c r="A40" s="29"/>
      <c r="B40" s="7" t="s">
        <v>30</v>
      </c>
      <c r="C40" s="5">
        <v>17.0</v>
      </c>
      <c r="D40" s="35" t="s">
        <v>31</v>
      </c>
      <c r="E40" s="34"/>
      <c r="F40" s="29"/>
      <c r="G40" s="29"/>
      <c r="H40" s="29"/>
      <c r="I40" s="29"/>
      <c r="J40" s="29"/>
      <c r="K40" s="33"/>
      <c r="L40" s="29"/>
      <c r="M40" s="2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7.0" customHeight="1">
      <c r="A41" s="29"/>
      <c r="B41" s="16" t="s">
        <v>32</v>
      </c>
      <c r="C41" s="29">
        <f>COUNTIF(L7:L36,"สมส่วน")</f>
        <v>4</v>
      </c>
      <c r="D41" s="36" t="s">
        <v>33</v>
      </c>
      <c r="E41" s="37">
        <f>(C41*100)/C40</f>
        <v>23.52941176</v>
      </c>
      <c r="F41" s="38" t="s">
        <v>34</v>
      </c>
      <c r="G41" s="39"/>
      <c r="H41" s="39"/>
      <c r="I41" s="29">
        <f>COUNTIF(M7:M36,"สูง")</f>
        <v>3</v>
      </c>
      <c r="J41" s="40" t="s">
        <v>33</v>
      </c>
      <c r="K41" s="41"/>
      <c r="L41" s="33">
        <f>(I41*100)/C40</f>
        <v>17.64705882</v>
      </c>
      <c r="M41" s="2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7.0" customHeight="1">
      <c r="A42" s="29"/>
      <c r="B42" s="16" t="s">
        <v>35</v>
      </c>
      <c r="C42" s="29">
        <f>COUNTIF(L7:L36,"อ้วน")</f>
        <v>2</v>
      </c>
      <c r="D42" s="36" t="s">
        <v>33</v>
      </c>
      <c r="E42" s="37">
        <f>(C42*100)/C40</f>
        <v>11.76470588</v>
      </c>
      <c r="F42" s="38" t="s">
        <v>36</v>
      </c>
      <c r="G42" s="39"/>
      <c r="H42" s="39"/>
      <c r="I42" s="29">
        <f>COUNTIF(M7:M36,"ส่วนสูงตามเกณฑ์")</f>
        <v>13</v>
      </c>
      <c r="J42" s="40" t="s">
        <v>33</v>
      </c>
      <c r="K42" s="41"/>
      <c r="L42" s="33">
        <f>(I42*100)/C40</f>
        <v>76.47058824</v>
      </c>
      <c r="M42" s="2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7.0" customHeight="1">
      <c r="A43" s="29"/>
      <c r="B43" s="16" t="s">
        <v>37</v>
      </c>
      <c r="C43" s="29">
        <f>COUNTIF(L7:L36,"ท้วม")</f>
        <v>1</v>
      </c>
      <c r="D43" s="36" t="s">
        <v>33</v>
      </c>
      <c r="E43" s="37">
        <f>(C43*100)/C40</f>
        <v>5.882352941</v>
      </c>
      <c r="F43" s="38" t="s">
        <v>38</v>
      </c>
      <c r="G43" s="39"/>
      <c r="H43" s="39"/>
      <c r="I43" s="29">
        <f>COUNTIF(M7:M36,"ค่อนข้างสูง")</f>
        <v>1</v>
      </c>
      <c r="J43" s="40" t="s">
        <v>33</v>
      </c>
      <c r="K43" s="41"/>
      <c r="L43" s="33">
        <f>(I43*100)/C40</f>
        <v>5.882352941</v>
      </c>
      <c r="M43" s="2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7.0" customHeight="1">
      <c r="A44" s="29"/>
      <c r="B44" s="16" t="s">
        <v>39</v>
      </c>
      <c r="C44" s="29">
        <f>COUNTIF(L7:L36,"ผอม")</f>
        <v>10</v>
      </c>
      <c r="D44" s="36" t="s">
        <v>33</v>
      </c>
      <c r="E44" s="37">
        <f>(C44*100)/C40</f>
        <v>58.82352941</v>
      </c>
      <c r="F44" s="38" t="s">
        <v>40</v>
      </c>
      <c r="G44" s="39"/>
      <c r="H44" s="39"/>
      <c r="I44" s="29">
        <f>COUNTIF(M7:M36,"ค่อนข้างเตี้ย")</f>
        <v>0</v>
      </c>
      <c r="J44" s="40" t="s">
        <v>33</v>
      </c>
      <c r="K44" s="41"/>
      <c r="L44" s="33">
        <f>(I44*100)/C40</f>
        <v>0</v>
      </c>
      <c r="M44" s="2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7.0" customHeight="1">
      <c r="A45" s="29"/>
      <c r="B45" s="16" t="s">
        <v>41</v>
      </c>
      <c r="C45" s="29">
        <f>COUNTIF(L7:L36,"ผอมมาก")</f>
        <v>0</v>
      </c>
      <c r="D45" s="36" t="s">
        <v>33</v>
      </c>
      <c r="E45" s="37">
        <f>(C45*100)/C40</f>
        <v>0</v>
      </c>
      <c r="F45" s="38" t="s">
        <v>42</v>
      </c>
      <c r="G45" s="39"/>
      <c r="H45" s="39"/>
      <c r="I45" s="29">
        <f>COUNTIF(M7:M36,"เตี้ย")</f>
        <v>0</v>
      </c>
      <c r="J45" s="40" t="s">
        <v>33</v>
      </c>
      <c r="K45" s="41"/>
      <c r="L45" s="33">
        <f>(I45*100)/C40</f>
        <v>0</v>
      </c>
      <c r="M45" s="2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7.0" customHeight="1">
      <c r="A46" s="29"/>
      <c r="B46" s="16"/>
      <c r="C46" s="29"/>
      <c r="D46" s="42"/>
      <c r="E46" s="37"/>
      <c r="F46" s="43"/>
      <c r="G46" s="29"/>
      <c r="H46" s="29"/>
      <c r="I46" s="29"/>
      <c r="J46" s="42"/>
      <c r="K46" s="33"/>
      <c r="L46" s="29"/>
      <c r="M46" s="2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7.0" customHeight="1">
      <c r="A47" s="29"/>
      <c r="B47" s="16"/>
      <c r="C47" s="29"/>
      <c r="D47" s="42"/>
      <c r="E47" s="37"/>
      <c r="F47" s="43"/>
      <c r="G47" s="29"/>
      <c r="H47" s="29"/>
      <c r="I47" s="29"/>
      <c r="J47" s="42"/>
      <c r="K47" s="33"/>
      <c r="L47" s="29"/>
      <c r="M47" s="2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7.0" customHeight="1">
      <c r="A48" s="19"/>
      <c r="B48" s="20"/>
      <c r="C48" s="19"/>
      <c r="D48" s="44"/>
      <c r="E48" s="44"/>
      <c r="F48" s="19"/>
      <c r="G48" s="19"/>
      <c r="H48" s="19"/>
      <c r="I48" s="19"/>
      <c r="J48" s="19"/>
      <c r="K48" s="45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.0" customHeight="1">
      <c r="A49" s="19"/>
      <c r="B49" s="20" t="s">
        <v>43</v>
      </c>
      <c r="C49" s="46" t="s">
        <v>44</v>
      </c>
      <c r="D49" s="20"/>
      <c r="E49" s="20"/>
      <c r="F49" s="20" t="s">
        <v>43</v>
      </c>
      <c r="G49" s="20"/>
      <c r="H49" s="20"/>
      <c r="I49" s="20" t="s">
        <v>45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7.0" customHeight="1">
      <c r="A50" s="19"/>
      <c r="B50" s="20" t="s">
        <v>46</v>
      </c>
      <c r="C50" s="19"/>
      <c r="D50" s="20"/>
      <c r="E50" s="20"/>
      <c r="F50" s="20" t="s">
        <v>47</v>
      </c>
      <c r="G50" s="20"/>
      <c r="H50" s="46"/>
      <c r="I50" s="46"/>
      <c r="J50" s="46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7.0" customHeight="1">
      <c r="A51" s="19"/>
      <c r="B51" s="20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7.0" customHeight="1">
      <c r="A52" s="19"/>
      <c r="B52" s="20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7.0" customHeight="1">
      <c r="A53" s="19"/>
      <c r="B53" s="20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7.0" customHeight="1">
      <c r="A54" s="19"/>
      <c r="B54" s="20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7.0" customHeight="1">
      <c r="A55" s="19"/>
      <c r="B55" s="20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7.0" customHeight="1">
      <c r="A56" s="19"/>
      <c r="B56" s="20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7.0" customHeight="1">
      <c r="A57" s="19"/>
      <c r="B57" s="20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7.0" customHeight="1">
      <c r="A58" s="19"/>
      <c r="B58" s="20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7.0" customHeight="1">
      <c r="A59" s="19"/>
      <c r="B59" s="20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27.0" customHeight="1">
      <c r="A60" s="19"/>
      <c r="B60" s="20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27.0" customHeight="1">
      <c r="A61" s="19"/>
      <c r="B61" s="20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27.0" customHeight="1">
      <c r="A62" s="19"/>
      <c r="B62" s="20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27.0" customHeight="1">
      <c r="A63" s="19"/>
      <c r="B63" s="20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27.0" customHeight="1">
      <c r="A64" s="19"/>
      <c r="B64" s="20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27.0" customHeight="1">
      <c r="A65" s="19"/>
      <c r="B65" s="20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27.0" customHeight="1">
      <c r="A66" s="19"/>
      <c r="B66" s="20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7.0" customHeight="1">
      <c r="A67" s="19"/>
      <c r="B67" s="20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27.0" customHeight="1">
      <c r="A68" s="19"/>
      <c r="B68" s="20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27.0" customHeight="1">
      <c r="A69" s="19"/>
      <c r="B69" s="20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27.0" customHeight="1">
      <c r="A70" s="19"/>
      <c r="B70" s="20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27.0" customHeight="1">
      <c r="A71" s="19"/>
      <c r="B71" s="20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27.0" customHeight="1">
      <c r="A72" s="19"/>
      <c r="B72" s="20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27.0" customHeight="1">
      <c r="A73" s="19"/>
      <c r="B73" s="20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27.0" customHeight="1">
      <c r="A74" s="19"/>
      <c r="B74" s="20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27.0" customHeight="1">
      <c r="A75" s="19"/>
      <c r="B75" s="20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7.0" customHeight="1">
      <c r="A76" s="19"/>
      <c r="B76" s="20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27.0" customHeight="1">
      <c r="A77" s="19"/>
      <c r="B77" s="20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27.0" customHeight="1">
      <c r="A78" s="19"/>
      <c r="B78" s="20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27.0" customHeight="1">
      <c r="A79" s="19"/>
      <c r="B79" s="20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27.0" customHeight="1">
      <c r="A80" s="19"/>
      <c r="B80" s="20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27.0" customHeight="1">
      <c r="A81" s="19"/>
      <c r="B81" s="20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27.0" customHeight="1">
      <c r="A82" s="19"/>
      <c r="B82" s="20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27.0" customHeight="1">
      <c r="A83" s="19"/>
      <c r="B83" s="20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27.0" customHeight="1">
      <c r="A84" s="19"/>
      <c r="B84" s="20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7.0" customHeight="1">
      <c r="A85" s="19"/>
      <c r="B85" s="20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27.0" customHeight="1">
      <c r="A86" s="19"/>
      <c r="B86" s="20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27.0" customHeight="1">
      <c r="A87" s="19"/>
      <c r="B87" s="20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27.0" customHeight="1">
      <c r="A88" s="19"/>
      <c r="B88" s="20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27.0" customHeight="1">
      <c r="A89" s="19"/>
      <c r="B89" s="20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27.0" customHeight="1">
      <c r="A90" s="19"/>
      <c r="B90" s="20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27.0" customHeight="1">
      <c r="A91" s="19"/>
      <c r="B91" s="20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27.0" customHeight="1">
      <c r="A92" s="19"/>
      <c r="B92" s="20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27.0" customHeight="1">
      <c r="A93" s="19"/>
      <c r="B93" s="20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7.0" customHeight="1">
      <c r="A94" s="19"/>
      <c r="B94" s="20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27.0" customHeight="1">
      <c r="A95" s="19"/>
      <c r="B95" s="20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27.0" customHeight="1">
      <c r="A96" s="19"/>
      <c r="B96" s="20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27.0" customHeight="1">
      <c r="A97" s="19"/>
      <c r="B97" s="20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27.0" customHeight="1">
      <c r="A98" s="19"/>
      <c r="B98" s="20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27.0" customHeight="1">
      <c r="A99" s="19"/>
      <c r="B99" s="20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27.0" customHeight="1">
      <c r="A100" s="19"/>
      <c r="B100" s="20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27.0" customHeight="1">
      <c r="A101" s="19"/>
      <c r="B101" s="20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27.0" customHeight="1">
      <c r="A102" s="19"/>
      <c r="B102" s="20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7.0" customHeight="1">
      <c r="A103" s="19"/>
      <c r="B103" s="20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27.0" customHeight="1">
      <c r="A104" s="19"/>
      <c r="B104" s="20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27.0" customHeight="1">
      <c r="A105" s="19"/>
      <c r="B105" s="20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27.0" customHeight="1">
      <c r="A106" s="19"/>
      <c r="B106" s="20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27.0" customHeight="1">
      <c r="A107" s="19"/>
      <c r="B107" s="20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27.0" customHeight="1">
      <c r="A108" s="19"/>
      <c r="B108" s="20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27.0" customHeight="1">
      <c r="A109" s="19"/>
      <c r="B109" s="20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27.0" customHeight="1">
      <c r="A110" s="19"/>
      <c r="B110" s="20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27.0" customHeight="1">
      <c r="A111" s="19"/>
      <c r="B111" s="20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27.0" customHeight="1">
      <c r="A112" s="19"/>
      <c r="B112" s="20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7.0" customHeight="1">
      <c r="A113" s="19"/>
      <c r="B113" s="20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27.0" customHeight="1">
      <c r="A114" s="19"/>
      <c r="B114" s="20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27.0" customHeight="1">
      <c r="A115" s="19"/>
      <c r="B115" s="20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27.0" customHeight="1">
      <c r="A116" s="19"/>
      <c r="B116" s="20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27.0" customHeight="1">
      <c r="A117" s="19"/>
      <c r="B117" s="20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27.0" customHeight="1">
      <c r="A118" s="19"/>
      <c r="B118" s="20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27.0" customHeight="1">
      <c r="A119" s="19"/>
      <c r="B119" s="20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27.0" customHeight="1">
      <c r="A120" s="19"/>
      <c r="B120" s="20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27.0" customHeight="1">
      <c r="A121" s="19"/>
      <c r="B121" s="20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27.0" customHeight="1">
      <c r="A122" s="19"/>
      <c r="B122" s="20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7.0" customHeight="1">
      <c r="A123" s="19"/>
      <c r="B123" s="20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7.0" customHeight="1">
      <c r="A124" s="19"/>
      <c r="B124" s="20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27.0" customHeight="1">
      <c r="A125" s="19"/>
      <c r="B125" s="20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27.0" customHeight="1">
      <c r="A126" s="19"/>
      <c r="B126" s="20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27.0" customHeight="1">
      <c r="A127" s="19"/>
      <c r="B127" s="20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27.0" customHeight="1">
      <c r="A128" s="19"/>
      <c r="B128" s="20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27.0" customHeight="1">
      <c r="A129" s="19"/>
      <c r="B129" s="20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27.0" customHeight="1">
      <c r="A130" s="19"/>
      <c r="B130" s="20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27.0" customHeight="1">
      <c r="A131" s="19"/>
      <c r="B131" s="20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7.0" customHeight="1">
      <c r="A132" s="19"/>
      <c r="B132" s="20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27.0" customHeight="1">
      <c r="A133" s="19"/>
      <c r="B133" s="20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27.0" customHeight="1">
      <c r="A134" s="19"/>
      <c r="B134" s="20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27.0" customHeight="1">
      <c r="A135" s="19"/>
      <c r="B135" s="20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7.0" customHeight="1">
      <c r="A136" s="19"/>
      <c r="B136" s="20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7.0" customHeight="1">
      <c r="A137" s="19"/>
      <c r="B137" s="20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7.0" customHeight="1">
      <c r="A138" s="19"/>
      <c r="B138" s="20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7.0" customHeight="1">
      <c r="A139" s="19"/>
      <c r="B139" s="20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27.0" customHeight="1">
      <c r="A140" s="19"/>
      <c r="B140" s="20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27.0" customHeight="1">
      <c r="A141" s="19"/>
      <c r="B141" s="20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27.0" customHeight="1">
      <c r="A142" s="19"/>
      <c r="B142" s="20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27.0" customHeight="1">
      <c r="A143" s="19"/>
      <c r="B143" s="20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27.0" customHeight="1">
      <c r="A144" s="19"/>
      <c r="B144" s="20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27.0" customHeight="1">
      <c r="A145" s="19"/>
      <c r="B145" s="20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27.0" customHeight="1">
      <c r="A146" s="19"/>
      <c r="B146" s="20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27.0" customHeight="1">
      <c r="A147" s="19"/>
      <c r="B147" s="20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27.0" customHeight="1">
      <c r="A148" s="19"/>
      <c r="B148" s="20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27.0" customHeight="1">
      <c r="A149" s="19"/>
      <c r="B149" s="20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27.0" customHeight="1">
      <c r="A150" s="19"/>
      <c r="B150" s="20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7.0" customHeight="1">
      <c r="A151" s="19"/>
      <c r="B151" s="20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27.0" customHeight="1">
      <c r="A152" s="19"/>
      <c r="B152" s="20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27.0" customHeight="1">
      <c r="A153" s="19"/>
      <c r="B153" s="20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27.0" customHeight="1">
      <c r="A154" s="19"/>
      <c r="B154" s="20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27.0" customHeight="1">
      <c r="A155" s="19"/>
      <c r="B155" s="20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27.0" customHeight="1">
      <c r="A156" s="19"/>
      <c r="B156" s="20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27.0" customHeight="1">
      <c r="A157" s="19"/>
      <c r="B157" s="20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27.0" customHeight="1">
      <c r="A158" s="19"/>
      <c r="B158" s="20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27.0" customHeight="1">
      <c r="A159" s="19"/>
      <c r="B159" s="20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27.0" customHeight="1">
      <c r="A160" s="19"/>
      <c r="B160" s="20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27.0" customHeight="1">
      <c r="A161" s="19"/>
      <c r="B161" s="20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7.0" customHeight="1">
      <c r="A162" s="19"/>
      <c r="B162" s="20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27.0" customHeight="1">
      <c r="A163" s="19"/>
      <c r="B163" s="20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27.0" customHeight="1">
      <c r="A164" s="19"/>
      <c r="B164" s="20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27.0" customHeight="1">
      <c r="A165" s="19"/>
      <c r="B165" s="20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27.0" customHeight="1">
      <c r="A166" s="19"/>
      <c r="B166" s="20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27.0" customHeight="1">
      <c r="A167" s="19"/>
      <c r="B167" s="20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27.0" customHeight="1">
      <c r="A168" s="19"/>
      <c r="B168" s="20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27.0" customHeight="1">
      <c r="A169" s="19"/>
      <c r="B169" s="20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27.0" customHeight="1">
      <c r="A170" s="19"/>
      <c r="B170" s="20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27.0" customHeight="1">
      <c r="A171" s="19"/>
      <c r="B171" s="20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27.0" customHeight="1">
      <c r="A172" s="19"/>
      <c r="B172" s="20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27.0" customHeight="1">
      <c r="A173" s="19"/>
      <c r="B173" s="20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27.0" customHeight="1">
      <c r="A174" s="19"/>
      <c r="B174" s="20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27.0" customHeight="1">
      <c r="A175" s="19"/>
      <c r="B175" s="20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27.0" customHeight="1">
      <c r="A176" s="19"/>
      <c r="B176" s="20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27.0" customHeight="1">
      <c r="A177" s="19"/>
      <c r="B177" s="20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27.0" customHeight="1">
      <c r="A178" s="19"/>
      <c r="B178" s="20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27.0" customHeight="1">
      <c r="A179" s="19"/>
      <c r="B179" s="20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27.0" customHeight="1">
      <c r="A180" s="19"/>
      <c r="B180" s="20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27.0" customHeight="1">
      <c r="A181" s="19"/>
      <c r="B181" s="20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27.0" customHeight="1">
      <c r="A182" s="19"/>
      <c r="B182" s="20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27.0" customHeight="1">
      <c r="A183" s="19"/>
      <c r="B183" s="20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27.0" customHeight="1">
      <c r="A184" s="19"/>
      <c r="B184" s="20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27.0" customHeight="1">
      <c r="A185" s="19"/>
      <c r="B185" s="20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27.0" customHeight="1">
      <c r="A186" s="19"/>
      <c r="B186" s="20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27.0" customHeight="1">
      <c r="A187" s="19"/>
      <c r="B187" s="20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27.0" customHeight="1">
      <c r="A188" s="19"/>
      <c r="B188" s="20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27.0" customHeight="1">
      <c r="A189" s="19"/>
      <c r="B189" s="20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27.0" customHeight="1">
      <c r="A190" s="19"/>
      <c r="B190" s="20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27.0" customHeight="1">
      <c r="A191" s="19"/>
      <c r="B191" s="20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27.0" customHeight="1">
      <c r="A192" s="19"/>
      <c r="B192" s="20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27.0" customHeight="1">
      <c r="A193" s="19"/>
      <c r="B193" s="20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27.0" customHeight="1">
      <c r="A194" s="19"/>
      <c r="B194" s="20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27.0" customHeight="1">
      <c r="A195" s="19"/>
      <c r="B195" s="20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27.0" customHeight="1">
      <c r="A196" s="19"/>
      <c r="B196" s="20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27.0" customHeight="1">
      <c r="A197" s="19"/>
      <c r="B197" s="20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27.0" customHeight="1">
      <c r="A198" s="19"/>
      <c r="B198" s="20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27.0" customHeight="1">
      <c r="A199" s="19"/>
      <c r="B199" s="20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27.0" customHeight="1">
      <c r="A200" s="19"/>
      <c r="B200" s="20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27.0" customHeight="1">
      <c r="A201" s="19"/>
      <c r="B201" s="20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27.0" customHeight="1">
      <c r="A202" s="19"/>
      <c r="B202" s="20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27.0" customHeight="1">
      <c r="A203" s="19"/>
      <c r="B203" s="20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27.0" customHeight="1">
      <c r="A204" s="19"/>
      <c r="B204" s="20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27.0" customHeight="1">
      <c r="A205" s="19"/>
      <c r="B205" s="20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27.0" customHeight="1">
      <c r="A206" s="19"/>
      <c r="B206" s="20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27.0" customHeight="1">
      <c r="A207" s="19"/>
      <c r="B207" s="20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27.0" customHeight="1">
      <c r="A208" s="19"/>
      <c r="B208" s="20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27.0" customHeight="1">
      <c r="A209" s="19"/>
      <c r="B209" s="20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27.0" customHeight="1">
      <c r="A210" s="19"/>
      <c r="B210" s="20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27.0" customHeight="1">
      <c r="A211" s="19"/>
      <c r="B211" s="20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27.0" customHeight="1">
      <c r="A212" s="19"/>
      <c r="B212" s="20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27.0" customHeight="1">
      <c r="A213" s="19"/>
      <c r="B213" s="20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27.0" customHeight="1">
      <c r="A214" s="19"/>
      <c r="B214" s="20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27.0" customHeight="1">
      <c r="A215" s="19"/>
      <c r="B215" s="20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27.0" customHeight="1">
      <c r="A216" s="19"/>
      <c r="B216" s="20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27.0" customHeight="1">
      <c r="A217" s="19"/>
      <c r="B217" s="20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27.0" customHeight="1">
      <c r="A218" s="19"/>
      <c r="B218" s="20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27.0" customHeight="1">
      <c r="A219" s="19"/>
      <c r="B219" s="20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27.0" customHeight="1">
      <c r="A220" s="19"/>
      <c r="B220" s="20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27.0" customHeight="1">
      <c r="A221" s="19"/>
      <c r="B221" s="20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27.0" customHeight="1">
      <c r="A222" s="19"/>
      <c r="B222" s="20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27.0" customHeight="1">
      <c r="A223" s="19"/>
      <c r="B223" s="20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27.0" customHeight="1">
      <c r="A224" s="19"/>
      <c r="B224" s="20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27.0" customHeight="1">
      <c r="A225" s="19"/>
      <c r="B225" s="20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27.0" customHeight="1">
      <c r="A226" s="19"/>
      <c r="B226" s="20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27.0" customHeight="1">
      <c r="A227" s="19"/>
      <c r="B227" s="20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27.0" customHeight="1">
      <c r="A228" s="19"/>
      <c r="B228" s="20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27.0" customHeight="1">
      <c r="A229" s="19"/>
      <c r="B229" s="20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27.0" customHeight="1">
      <c r="A230" s="19"/>
      <c r="B230" s="20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27.0" customHeight="1">
      <c r="A231" s="19"/>
      <c r="B231" s="20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27.0" customHeight="1">
      <c r="A232" s="19"/>
      <c r="B232" s="20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27.0" customHeight="1">
      <c r="A233" s="19"/>
      <c r="B233" s="20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27.0" customHeight="1">
      <c r="A234" s="19"/>
      <c r="B234" s="20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27.0" customHeight="1">
      <c r="A235" s="19"/>
      <c r="B235" s="20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27.0" customHeight="1">
      <c r="A236" s="19"/>
      <c r="B236" s="20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27.0" customHeight="1">
      <c r="A237" s="19"/>
      <c r="B237" s="20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27.0" customHeight="1">
      <c r="A238" s="19"/>
      <c r="B238" s="20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27.0" customHeight="1">
      <c r="A239" s="19"/>
      <c r="B239" s="20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27.0" customHeight="1">
      <c r="A240" s="19"/>
      <c r="B240" s="20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27.0" customHeight="1">
      <c r="A241" s="19"/>
      <c r="B241" s="20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27.0" customHeight="1">
      <c r="A242" s="19"/>
      <c r="B242" s="20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27.0" customHeight="1">
      <c r="A243" s="19"/>
      <c r="B243" s="20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27.0" customHeight="1">
      <c r="A244" s="19"/>
      <c r="B244" s="20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27.0" customHeight="1">
      <c r="A245" s="19"/>
      <c r="B245" s="20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27.0" customHeight="1">
      <c r="A246" s="19"/>
      <c r="B246" s="20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27.0" customHeight="1">
      <c r="A247" s="19"/>
      <c r="B247" s="20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27.0" customHeight="1">
      <c r="A248" s="19"/>
      <c r="B248" s="20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27.0" customHeight="1">
      <c r="A249" s="19"/>
      <c r="B249" s="20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27.0" customHeight="1">
      <c r="A250" s="19"/>
      <c r="B250" s="20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27.0" customHeight="1">
      <c r="A251" s="19"/>
      <c r="B251" s="20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27.0" customHeight="1">
      <c r="A252" s="19"/>
      <c r="B252" s="20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27.0" customHeight="1">
      <c r="A253" s="19"/>
      <c r="B253" s="20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27.0" customHeight="1">
      <c r="A254" s="19"/>
      <c r="B254" s="20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27.0" customHeight="1">
      <c r="A255" s="19"/>
      <c r="B255" s="20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27.0" customHeight="1">
      <c r="A256" s="19"/>
      <c r="B256" s="20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27.0" customHeight="1">
      <c r="A257" s="19"/>
      <c r="B257" s="20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27.0" customHeight="1">
      <c r="A258" s="19"/>
      <c r="B258" s="20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27.0" customHeight="1">
      <c r="A259" s="19"/>
      <c r="B259" s="20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27.0" customHeight="1">
      <c r="A260" s="19"/>
      <c r="B260" s="20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27.0" customHeight="1">
      <c r="A261" s="19"/>
      <c r="B261" s="20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27.0" customHeight="1">
      <c r="A262" s="19"/>
      <c r="B262" s="20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27.0" customHeight="1">
      <c r="A263" s="19"/>
      <c r="B263" s="20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27.0" customHeight="1">
      <c r="A264" s="19"/>
      <c r="B264" s="20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27.0" customHeight="1">
      <c r="A265" s="19"/>
      <c r="B265" s="20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27.0" customHeight="1">
      <c r="A266" s="19"/>
      <c r="B266" s="20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27.0" customHeight="1">
      <c r="A267" s="19"/>
      <c r="B267" s="20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27.0" customHeight="1">
      <c r="A268" s="19"/>
      <c r="B268" s="20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27.0" customHeight="1">
      <c r="A269" s="19"/>
      <c r="B269" s="20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27.0" customHeight="1">
      <c r="A270" s="19"/>
      <c r="B270" s="20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27.0" customHeight="1">
      <c r="A271" s="19"/>
      <c r="B271" s="20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27.0" customHeight="1">
      <c r="A272" s="19"/>
      <c r="B272" s="20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27.0" customHeight="1">
      <c r="A273" s="19"/>
      <c r="B273" s="20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27.0" customHeight="1">
      <c r="A274" s="19"/>
      <c r="B274" s="20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27.0" customHeight="1">
      <c r="A275" s="19"/>
      <c r="B275" s="20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27.0" customHeight="1">
      <c r="A276" s="19"/>
      <c r="B276" s="20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27.0" customHeight="1">
      <c r="A277" s="19"/>
      <c r="B277" s="20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27.0" customHeight="1">
      <c r="A278" s="19"/>
      <c r="B278" s="20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27.0" customHeight="1">
      <c r="A279" s="19"/>
      <c r="B279" s="20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27.0" customHeight="1">
      <c r="A280" s="19"/>
      <c r="B280" s="20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27.0" customHeight="1">
      <c r="A281" s="19"/>
      <c r="B281" s="20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27.0" customHeight="1">
      <c r="A282" s="19"/>
      <c r="B282" s="20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27.0" customHeight="1">
      <c r="A283" s="19"/>
      <c r="B283" s="20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27.0" customHeight="1">
      <c r="A284" s="19"/>
      <c r="B284" s="20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27.0" customHeight="1">
      <c r="A285" s="19"/>
      <c r="B285" s="20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27.0" customHeight="1">
      <c r="A286" s="19"/>
      <c r="B286" s="20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27.0" customHeight="1">
      <c r="A287" s="19"/>
      <c r="B287" s="20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27.0" customHeight="1">
      <c r="A288" s="19"/>
      <c r="B288" s="20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27.0" customHeight="1">
      <c r="A289" s="19"/>
      <c r="B289" s="20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27.0" customHeight="1">
      <c r="A290" s="19"/>
      <c r="B290" s="20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27.0" customHeight="1">
      <c r="A291" s="19"/>
      <c r="B291" s="20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27.0" customHeight="1">
      <c r="A292" s="19"/>
      <c r="B292" s="20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27.0" customHeight="1">
      <c r="A293" s="19"/>
      <c r="B293" s="20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27.0" customHeight="1">
      <c r="A294" s="19"/>
      <c r="B294" s="20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27.0" customHeight="1">
      <c r="A295" s="19"/>
      <c r="B295" s="20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27.0" customHeight="1">
      <c r="A296" s="19"/>
      <c r="B296" s="20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27.0" customHeight="1">
      <c r="A297" s="19"/>
      <c r="B297" s="20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27.0" customHeight="1">
      <c r="A298" s="19"/>
      <c r="B298" s="20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27.0" customHeight="1">
      <c r="A299" s="19"/>
      <c r="B299" s="20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27.0" customHeight="1">
      <c r="A300" s="19"/>
      <c r="B300" s="20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27.0" customHeight="1">
      <c r="A301" s="19"/>
      <c r="B301" s="20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27.0" customHeight="1">
      <c r="A302" s="19"/>
      <c r="B302" s="20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27.0" customHeight="1">
      <c r="A303" s="19"/>
      <c r="B303" s="20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27.0" customHeight="1">
      <c r="A304" s="19"/>
      <c r="B304" s="20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27.0" customHeight="1">
      <c r="A305" s="19"/>
      <c r="B305" s="20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27.0" customHeight="1">
      <c r="A306" s="19"/>
      <c r="B306" s="20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27.0" customHeight="1">
      <c r="A307" s="19"/>
      <c r="B307" s="20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27.0" customHeight="1">
      <c r="A308" s="19"/>
      <c r="B308" s="20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27.0" customHeight="1">
      <c r="A309" s="19"/>
      <c r="B309" s="20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27.0" customHeight="1">
      <c r="A310" s="19"/>
      <c r="B310" s="20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27.0" customHeight="1">
      <c r="A311" s="19"/>
      <c r="B311" s="20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27.0" customHeight="1">
      <c r="A312" s="19"/>
      <c r="B312" s="20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27.0" customHeight="1">
      <c r="A313" s="19"/>
      <c r="B313" s="20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27.0" customHeight="1">
      <c r="A314" s="19"/>
      <c r="B314" s="20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27.0" customHeight="1">
      <c r="A315" s="19"/>
      <c r="B315" s="20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27.0" customHeight="1">
      <c r="A316" s="19"/>
      <c r="B316" s="20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27.0" customHeight="1">
      <c r="A317" s="19"/>
      <c r="B317" s="20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27.0" customHeight="1">
      <c r="A318" s="19"/>
      <c r="B318" s="20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27.0" customHeight="1">
      <c r="A319" s="19"/>
      <c r="B319" s="20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27.0" customHeight="1">
      <c r="A320" s="19"/>
      <c r="B320" s="20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27.0" customHeight="1">
      <c r="A321" s="19"/>
      <c r="B321" s="20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27.0" customHeight="1">
      <c r="A322" s="19"/>
      <c r="B322" s="20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27.0" customHeight="1">
      <c r="A323" s="19"/>
      <c r="B323" s="20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27.0" customHeight="1">
      <c r="A324" s="19"/>
      <c r="B324" s="20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27.0" customHeight="1">
      <c r="A325" s="19"/>
      <c r="B325" s="20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27.0" customHeight="1">
      <c r="A326" s="19"/>
      <c r="B326" s="20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27.0" customHeight="1">
      <c r="A327" s="19"/>
      <c r="B327" s="20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27.0" customHeight="1">
      <c r="A328" s="19"/>
      <c r="B328" s="20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27.0" customHeight="1">
      <c r="A329" s="19"/>
      <c r="B329" s="20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27.0" customHeight="1">
      <c r="A330" s="19"/>
      <c r="B330" s="20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27.0" customHeight="1">
      <c r="A331" s="19"/>
      <c r="B331" s="20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27.0" customHeight="1">
      <c r="A332" s="19"/>
      <c r="B332" s="20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27.0" customHeight="1">
      <c r="A333" s="19"/>
      <c r="B333" s="20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27.0" customHeight="1">
      <c r="A334" s="19"/>
      <c r="B334" s="20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27.0" customHeight="1">
      <c r="A335" s="19"/>
      <c r="B335" s="20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27.0" customHeight="1">
      <c r="A336" s="19"/>
      <c r="B336" s="20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27.0" customHeight="1">
      <c r="A337" s="19"/>
      <c r="B337" s="20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27.0" customHeight="1">
      <c r="A338" s="19"/>
      <c r="B338" s="20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27.0" customHeight="1">
      <c r="A339" s="19"/>
      <c r="B339" s="20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27.0" customHeight="1">
      <c r="A340" s="19"/>
      <c r="B340" s="20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27.0" customHeight="1">
      <c r="A341" s="19"/>
      <c r="B341" s="20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27.0" customHeight="1">
      <c r="A342" s="19"/>
      <c r="B342" s="20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27.0" customHeight="1">
      <c r="A343" s="19"/>
      <c r="B343" s="20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27.0" customHeight="1">
      <c r="A344" s="19"/>
      <c r="B344" s="20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27.0" customHeight="1">
      <c r="A345" s="19"/>
      <c r="B345" s="20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27.0" customHeight="1">
      <c r="A346" s="19"/>
      <c r="B346" s="20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27.0" customHeight="1">
      <c r="A347" s="19"/>
      <c r="B347" s="20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27.0" customHeight="1">
      <c r="A348" s="19"/>
      <c r="B348" s="20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27.0" customHeight="1">
      <c r="A349" s="19"/>
      <c r="B349" s="20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27.0" customHeight="1">
      <c r="A350" s="19"/>
      <c r="B350" s="20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27.0" customHeight="1">
      <c r="A351" s="19"/>
      <c r="B351" s="20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27.0" customHeight="1">
      <c r="A352" s="19"/>
      <c r="B352" s="20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27.0" customHeight="1">
      <c r="A353" s="19"/>
      <c r="B353" s="20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27.0" customHeight="1">
      <c r="A354" s="19"/>
      <c r="B354" s="20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27.0" customHeight="1">
      <c r="A355" s="19"/>
      <c r="B355" s="20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27.0" customHeight="1">
      <c r="A356" s="19"/>
      <c r="B356" s="20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27.0" customHeight="1">
      <c r="A357" s="19"/>
      <c r="B357" s="20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27.0" customHeight="1">
      <c r="A358" s="19"/>
      <c r="B358" s="20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27.0" customHeight="1">
      <c r="A359" s="19"/>
      <c r="B359" s="20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27.0" customHeight="1">
      <c r="A360" s="19"/>
      <c r="B360" s="20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27.0" customHeight="1">
      <c r="A361" s="19"/>
      <c r="B361" s="20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27.0" customHeight="1">
      <c r="A362" s="19"/>
      <c r="B362" s="20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27.0" customHeight="1">
      <c r="A363" s="19"/>
      <c r="B363" s="20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27.0" customHeight="1">
      <c r="A364" s="19"/>
      <c r="B364" s="20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27.0" customHeight="1">
      <c r="A365" s="19"/>
      <c r="B365" s="20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27.0" customHeight="1">
      <c r="A366" s="19"/>
      <c r="B366" s="20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27.0" customHeight="1">
      <c r="A367" s="19"/>
      <c r="B367" s="20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27.0" customHeight="1">
      <c r="A368" s="19"/>
      <c r="B368" s="20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27.0" customHeight="1">
      <c r="A369" s="19"/>
      <c r="B369" s="20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27.0" customHeight="1">
      <c r="A370" s="19"/>
      <c r="B370" s="20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27.0" customHeight="1">
      <c r="A371" s="19"/>
      <c r="B371" s="20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27.0" customHeight="1">
      <c r="A372" s="19"/>
      <c r="B372" s="20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27.0" customHeight="1">
      <c r="A373" s="19"/>
      <c r="B373" s="20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27.0" customHeight="1">
      <c r="A374" s="19"/>
      <c r="B374" s="20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27.0" customHeight="1">
      <c r="A375" s="19"/>
      <c r="B375" s="20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27.0" customHeight="1">
      <c r="A376" s="19"/>
      <c r="B376" s="20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27.0" customHeight="1">
      <c r="A377" s="19"/>
      <c r="B377" s="20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27.0" customHeight="1">
      <c r="A378" s="19"/>
      <c r="B378" s="20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27.0" customHeight="1">
      <c r="A379" s="19"/>
      <c r="B379" s="20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27.0" customHeight="1">
      <c r="A380" s="19"/>
      <c r="B380" s="20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27.0" customHeight="1">
      <c r="A381" s="19"/>
      <c r="B381" s="20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27.0" customHeight="1">
      <c r="A382" s="19"/>
      <c r="B382" s="20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27.0" customHeight="1">
      <c r="A383" s="19"/>
      <c r="B383" s="20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27.0" customHeight="1">
      <c r="A384" s="19"/>
      <c r="B384" s="20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27.0" customHeight="1">
      <c r="A385" s="19"/>
      <c r="B385" s="20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27.0" customHeight="1">
      <c r="A386" s="19"/>
      <c r="B386" s="20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27.0" customHeight="1">
      <c r="A387" s="19"/>
      <c r="B387" s="20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27.0" customHeight="1">
      <c r="A388" s="19"/>
      <c r="B388" s="20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27.0" customHeight="1">
      <c r="A389" s="19"/>
      <c r="B389" s="20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27.0" customHeight="1">
      <c r="A390" s="19"/>
      <c r="B390" s="20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27.0" customHeight="1">
      <c r="A391" s="19"/>
      <c r="B391" s="20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27.0" customHeight="1">
      <c r="A392" s="19"/>
      <c r="B392" s="20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27.0" customHeight="1">
      <c r="A393" s="19"/>
      <c r="B393" s="20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27.0" customHeight="1">
      <c r="A394" s="19"/>
      <c r="B394" s="20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27.0" customHeight="1">
      <c r="A395" s="19"/>
      <c r="B395" s="20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27.0" customHeight="1">
      <c r="A396" s="19"/>
      <c r="B396" s="20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27.0" customHeight="1">
      <c r="A397" s="19"/>
      <c r="B397" s="20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27.0" customHeight="1">
      <c r="A398" s="19"/>
      <c r="B398" s="20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27.0" customHeight="1">
      <c r="A399" s="19"/>
      <c r="B399" s="20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27.0" customHeight="1">
      <c r="A400" s="19"/>
      <c r="B400" s="20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27.0" customHeight="1">
      <c r="A401" s="19"/>
      <c r="B401" s="20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27.0" customHeight="1">
      <c r="A402" s="19"/>
      <c r="B402" s="20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27.0" customHeight="1">
      <c r="A403" s="19"/>
      <c r="B403" s="20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27.0" customHeight="1">
      <c r="A404" s="19"/>
      <c r="B404" s="20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27.0" customHeight="1">
      <c r="A405" s="19"/>
      <c r="B405" s="20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27.0" customHeight="1">
      <c r="A406" s="19"/>
      <c r="B406" s="20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27.0" customHeight="1">
      <c r="A407" s="19"/>
      <c r="B407" s="20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27.0" customHeight="1">
      <c r="A408" s="19"/>
      <c r="B408" s="20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27.0" customHeight="1">
      <c r="A409" s="19"/>
      <c r="B409" s="20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27.0" customHeight="1">
      <c r="A410" s="19"/>
      <c r="B410" s="20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27.0" customHeight="1">
      <c r="A411" s="19"/>
      <c r="B411" s="20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27.0" customHeight="1">
      <c r="A412" s="19"/>
      <c r="B412" s="20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27.0" customHeight="1">
      <c r="A413" s="19"/>
      <c r="B413" s="20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27.0" customHeight="1">
      <c r="A414" s="19"/>
      <c r="B414" s="20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27.0" customHeight="1">
      <c r="A415" s="19"/>
      <c r="B415" s="20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27.0" customHeight="1">
      <c r="A416" s="19"/>
      <c r="B416" s="20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27.0" customHeight="1">
      <c r="A417" s="19"/>
      <c r="B417" s="20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27.0" customHeight="1">
      <c r="A418" s="19"/>
      <c r="B418" s="20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27.0" customHeight="1">
      <c r="A419" s="19"/>
      <c r="B419" s="20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27.0" customHeight="1">
      <c r="A420" s="19"/>
      <c r="B420" s="20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27.0" customHeight="1">
      <c r="A421" s="19"/>
      <c r="B421" s="20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27.0" customHeight="1">
      <c r="A422" s="19"/>
      <c r="B422" s="20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27.0" customHeight="1">
      <c r="A423" s="19"/>
      <c r="B423" s="20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27.0" customHeight="1">
      <c r="A424" s="19"/>
      <c r="B424" s="20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27.0" customHeight="1">
      <c r="A425" s="19"/>
      <c r="B425" s="20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27.0" customHeight="1">
      <c r="A426" s="19"/>
      <c r="B426" s="20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27.0" customHeight="1">
      <c r="A427" s="19"/>
      <c r="B427" s="20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27.0" customHeight="1">
      <c r="A428" s="19"/>
      <c r="B428" s="20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27.0" customHeight="1">
      <c r="A429" s="19"/>
      <c r="B429" s="20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27.0" customHeight="1">
      <c r="A430" s="19"/>
      <c r="B430" s="20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27.0" customHeight="1">
      <c r="A431" s="19"/>
      <c r="B431" s="20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27.0" customHeight="1">
      <c r="A432" s="19"/>
      <c r="B432" s="20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27.0" customHeight="1">
      <c r="A433" s="19"/>
      <c r="B433" s="20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27.0" customHeight="1">
      <c r="A434" s="19"/>
      <c r="B434" s="20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27.0" customHeight="1">
      <c r="A435" s="19"/>
      <c r="B435" s="20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27.0" customHeight="1">
      <c r="A436" s="19"/>
      <c r="B436" s="20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27.0" customHeight="1">
      <c r="A437" s="19"/>
      <c r="B437" s="20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27.0" customHeight="1">
      <c r="A438" s="19"/>
      <c r="B438" s="20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27.0" customHeight="1">
      <c r="A439" s="19"/>
      <c r="B439" s="20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27.0" customHeight="1">
      <c r="A440" s="19"/>
      <c r="B440" s="20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27.0" customHeight="1">
      <c r="A441" s="19"/>
      <c r="B441" s="20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27.0" customHeight="1">
      <c r="A442" s="19"/>
      <c r="B442" s="20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27.0" customHeight="1">
      <c r="A443" s="19"/>
      <c r="B443" s="20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27.0" customHeight="1">
      <c r="A444" s="19"/>
      <c r="B444" s="20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27.0" customHeight="1">
      <c r="A445" s="19"/>
      <c r="B445" s="20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27.0" customHeight="1">
      <c r="A446" s="19"/>
      <c r="B446" s="20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27.0" customHeight="1">
      <c r="A447" s="19"/>
      <c r="B447" s="20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27.0" customHeight="1">
      <c r="A448" s="19"/>
      <c r="B448" s="20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27.0" customHeight="1">
      <c r="A449" s="19"/>
      <c r="B449" s="20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27.0" customHeight="1">
      <c r="A450" s="19"/>
      <c r="B450" s="20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27.0" customHeight="1">
      <c r="A451" s="19"/>
      <c r="B451" s="20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27.0" customHeight="1">
      <c r="A452" s="19"/>
      <c r="B452" s="20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27.0" customHeight="1">
      <c r="A453" s="19"/>
      <c r="B453" s="20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27.0" customHeight="1">
      <c r="A454" s="19"/>
      <c r="B454" s="20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27.0" customHeight="1">
      <c r="A455" s="19"/>
      <c r="B455" s="20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27.0" customHeight="1">
      <c r="A456" s="19"/>
      <c r="B456" s="20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27.0" customHeight="1">
      <c r="A457" s="19"/>
      <c r="B457" s="20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27.0" customHeight="1">
      <c r="A458" s="19"/>
      <c r="B458" s="20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27.0" customHeight="1">
      <c r="A459" s="19"/>
      <c r="B459" s="20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27.0" customHeight="1">
      <c r="A460" s="19"/>
      <c r="B460" s="20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27.0" customHeight="1">
      <c r="A461" s="19"/>
      <c r="B461" s="20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27.0" customHeight="1">
      <c r="A462" s="19"/>
      <c r="B462" s="20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27.0" customHeight="1">
      <c r="A463" s="19"/>
      <c r="B463" s="20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27.0" customHeight="1">
      <c r="A464" s="19"/>
      <c r="B464" s="20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27.0" customHeight="1">
      <c r="A465" s="19"/>
      <c r="B465" s="20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27.0" customHeight="1">
      <c r="A466" s="19"/>
      <c r="B466" s="20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27.0" customHeight="1">
      <c r="A467" s="19"/>
      <c r="B467" s="20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27.0" customHeight="1">
      <c r="A468" s="19"/>
      <c r="B468" s="20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27.0" customHeight="1">
      <c r="A469" s="19"/>
      <c r="B469" s="20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27.0" customHeight="1">
      <c r="A470" s="19"/>
      <c r="B470" s="20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27.0" customHeight="1">
      <c r="A471" s="19"/>
      <c r="B471" s="20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27.0" customHeight="1">
      <c r="A472" s="19"/>
      <c r="B472" s="20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27.0" customHeight="1">
      <c r="A473" s="19"/>
      <c r="B473" s="20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27.0" customHeight="1">
      <c r="A474" s="19"/>
      <c r="B474" s="20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27.0" customHeight="1">
      <c r="A475" s="19"/>
      <c r="B475" s="20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27.0" customHeight="1">
      <c r="A476" s="19"/>
      <c r="B476" s="20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27.0" customHeight="1">
      <c r="A477" s="19"/>
      <c r="B477" s="20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27.0" customHeight="1">
      <c r="A478" s="19"/>
      <c r="B478" s="20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27.0" customHeight="1">
      <c r="A479" s="19"/>
      <c r="B479" s="20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27.0" customHeight="1">
      <c r="A480" s="19"/>
      <c r="B480" s="20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27.0" customHeight="1">
      <c r="A481" s="19"/>
      <c r="B481" s="20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27.0" customHeight="1">
      <c r="A482" s="19"/>
      <c r="B482" s="20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27.0" customHeight="1">
      <c r="A483" s="19"/>
      <c r="B483" s="20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27.0" customHeight="1">
      <c r="A484" s="19"/>
      <c r="B484" s="20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27.0" customHeight="1">
      <c r="A485" s="19"/>
      <c r="B485" s="20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27.0" customHeight="1">
      <c r="A486" s="19"/>
      <c r="B486" s="20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27.0" customHeight="1">
      <c r="A487" s="19"/>
      <c r="B487" s="20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27.0" customHeight="1">
      <c r="A488" s="19"/>
      <c r="B488" s="20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27.0" customHeight="1">
      <c r="A489" s="19"/>
      <c r="B489" s="20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27.0" customHeight="1">
      <c r="A490" s="19"/>
      <c r="B490" s="20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27.0" customHeight="1">
      <c r="A491" s="19"/>
      <c r="B491" s="20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27.0" customHeight="1">
      <c r="A492" s="19"/>
      <c r="B492" s="20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27.0" customHeight="1">
      <c r="A493" s="19"/>
      <c r="B493" s="20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27.0" customHeight="1">
      <c r="A494" s="19"/>
      <c r="B494" s="20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27.0" customHeight="1">
      <c r="A495" s="19"/>
      <c r="B495" s="20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27.0" customHeight="1">
      <c r="A496" s="19"/>
      <c r="B496" s="20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27.0" customHeight="1">
      <c r="A497" s="19"/>
      <c r="B497" s="20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27.0" customHeight="1">
      <c r="A498" s="19"/>
      <c r="B498" s="20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27.0" customHeight="1">
      <c r="A499" s="19"/>
      <c r="B499" s="20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27.0" customHeight="1">
      <c r="A500" s="19"/>
      <c r="B500" s="20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27.0" customHeight="1">
      <c r="A501" s="19"/>
      <c r="B501" s="20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27.0" customHeight="1">
      <c r="A502" s="19"/>
      <c r="B502" s="20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27.0" customHeight="1">
      <c r="A503" s="19"/>
      <c r="B503" s="20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27.0" customHeight="1">
      <c r="A504" s="19"/>
      <c r="B504" s="20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27.0" customHeight="1">
      <c r="A505" s="19"/>
      <c r="B505" s="20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27.0" customHeight="1">
      <c r="A506" s="19"/>
      <c r="B506" s="20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27.0" customHeight="1">
      <c r="A507" s="19"/>
      <c r="B507" s="20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27.0" customHeight="1">
      <c r="A508" s="19"/>
      <c r="B508" s="20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27.0" customHeight="1">
      <c r="A509" s="19"/>
      <c r="B509" s="20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27.0" customHeight="1">
      <c r="A510" s="19"/>
      <c r="B510" s="20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27.0" customHeight="1">
      <c r="A511" s="19"/>
      <c r="B511" s="20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27.0" customHeight="1">
      <c r="A512" s="19"/>
      <c r="B512" s="20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27.0" customHeight="1">
      <c r="A513" s="19"/>
      <c r="B513" s="20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27.0" customHeight="1">
      <c r="A514" s="19"/>
      <c r="B514" s="20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27.0" customHeight="1">
      <c r="A515" s="19"/>
      <c r="B515" s="20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27.0" customHeight="1">
      <c r="A516" s="19"/>
      <c r="B516" s="20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27.0" customHeight="1">
      <c r="A517" s="19"/>
      <c r="B517" s="20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27.0" customHeight="1">
      <c r="A518" s="19"/>
      <c r="B518" s="20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27.0" customHeight="1">
      <c r="A519" s="19"/>
      <c r="B519" s="20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27.0" customHeight="1">
      <c r="A520" s="19"/>
      <c r="B520" s="20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27.0" customHeight="1">
      <c r="A521" s="19"/>
      <c r="B521" s="20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27.0" customHeight="1">
      <c r="A522" s="19"/>
      <c r="B522" s="20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27.0" customHeight="1">
      <c r="A523" s="19"/>
      <c r="B523" s="20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27.0" customHeight="1">
      <c r="A524" s="19"/>
      <c r="B524" s="20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27.0" customHeight="1">
      <c r="A525" s="19"/>
      <c r="B525" s="20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27.0" customHeight="1">
      <c r="A526" s="19"/>
      <c r="B526" s="20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27.0" customHeight="1">
      <c r="A527" s="19"/>
      <c r="B527" s="20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27.0" customHeight="1">
      <c r="A528" s="19"/>
      <c r="B528" s="20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27.0" customHeight="1">
      <c r="A529" s="19"/>
      <c r="B529" s="20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27.0" customHeight="1">
      <c r="A530" s="19"/>
      <c r="B530" s="20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27.0" customHeight="1">
      <c r="A531" s="19"/>
      <c r="B531" s="20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27.0" customHeight="1">
      <c r="A532" s="19"/>
      <c r="B532" s="20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27.0" customHeight="1">
      <c r="A533" s="19"/>
      <c r="B533" s="20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27.0" customHeight="1">
      <c r="A534" s="19"/>
      <c r="B534" s="20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27.0" customHeight="1">
      <c r="A535" s="19"/>
      <c r="B535" s="20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27.0" customHeight="1">
      <c r="A536" s="19"/>
      <c r="B536" s="20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27.0" customHeight="1">
      <c r="A537" s="19"/>
      <c r="B537" s="20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27.0" customHeight="1">
      <c r="A538" s="19"/>
      <c r="B538" s="20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27.0" customHeight="1">
      <c r="A539" s="19"/>
      <c r="B539" s="20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27.0" customHeight="1">
      <c r="A540" s="19"/>
      <c r="B540" s="20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27.0" customHeight="1">
      <c r="A541" s="19"/>
      <c r="B541" s="20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27.0" customHeight="1">
      <c r="A542" s="19"/>
      <c r="B542" s="20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27.0" customHeight="1">
      <c r="A543" s="19"/>
      <c r="B543" s="20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27.0" customHeight="1">
      <c r="A544" s="19"/>
      <c r="B544" s="20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27.0" customHeight="1">
      <c r="A545" s="19"/>
      <c r="B545" s="20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27.0" customHeight="1">
      <c r="A546" s="19"/>
      <c r="B546" s="20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27.0" customHeight="1">
      <c r="A547" s="19"/>
      <c r="B547" s="20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27.0" customHeight="1">
      <c r="A548" s="19"/>
      <c r="B548" s="20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27.0" customHeight="1">
      <c r="A549" s="19"/>
      <c r="B549" s="20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27.0" customHeight="1">
      <c r="A550" s="19"/>
      <c r="B550" s="20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27.0" customHeight="1">
      <c r="A551" s="19"/>
      <c r="B551" s="20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27.0" customHeight="1">
      <c r="A552" s="19"/>
      <c r="B552" s="20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27.0" customHeight="1">
      <c r="A553" s="19"/>
      <c r="B553" s="20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27.0" customHeight="1">
      <c r="A554" s="19"/>
      <c r="B554" s="20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27.0" customHeight="1">
      <c r="A555" s="19"/>
      <c r="B555" s="20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27.0" customHeight="1">
      <c r="A556" s="19"/>
      <c r="B556" s="20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27.0" customHeight="1">
      <c r="A557" s="19"/>
      <c r="B557" s="20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27.0" customHeight="1">
      <c r="A558" s="19"/>
      <c r="B558" s="20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27.0" customHeight="1">
      <c r="A559" s="19"/>
      <c r="B559" s="20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27.0" customHeight="1">
      <c r="A560" s="19"/>
      <c r="B560" s="20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27.0" customHeight="1">
      <c r="A561" s="19"/>
      <c r="B561" s="20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27.0" customHeight="1">
      <c r="A562" s="19"/>
      <c r="B562" s="20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27.0" customHeight="1">
      <c r="A563" s="19"/>
      <c r="B563" s="20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27.0" customHeight="1">
      <c r="A564" s="19"/>
      <c r="B564" s="20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27.0" customHeight="1">
      <c r="A565" s="19"/>
      <c r="B565" s="20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27.0" customHeight="1">
      <c r="A566" s="19"/>
      <c r="B566" s="20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27.0" customHeight="1">
      <c r="A567" s="19"/>
      <c r="B567" s="20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27.0" customHeight="1">
      <c r="A568" s="19"/>
      <c r="B568" s="20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27.0" customHeight="1">
      <c r="A569" s="19"/>
      <c r="B569" s="20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27.0" customHeight="1">
      <c r="A570" s="19"/>
      <c r="B570" s="20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27.0" customHeight="1">
      <c r="A571" s="19"/>
      <c r="B571" s="20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27.0" customHeight="1">
      <c r="A572" s="19"/>
      <c r="B572" s="20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27.0" customHeight="1">
      <c r="A573" s="19"/>
      <c r="B573" s="20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27.0" customHeight="1">
      <c r="A574" s="19"/>
      <c r="B574" s="20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27.0" customHeight="1">
      <c r="A575" s="19"/>
      <c r="B575" s="20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27.0" customHeight="1">
      <c r="A576" s="19"/>
      <c r="B576" s="20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27.0" customHeight="1">
      <c r="A577" s="19"/>
      <c r="B577" s="20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27.0" customHeight="1">
      <c r="A578" s="19"/>
      <c r="B578" s="20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27.0" customHeight="1">
      <c r="A579" s="19"/>
      <c r="B579" s="20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27.0" customHeight="1">
      <c r="A580" s="19"/>
      <c r="B580" s="20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27.0" customHeight="1">
      <c r="A581" s="19"/>
      <c r="B581" s="20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27.0" customHeight="1">
      <c r="A582" s="19"/>
      <c r="B582" s="20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27.0" customHeight="1">
      <c r="A583" s="19"/>
      <c r="B583" s="20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27.0" customHeight="1">
      <c r="A584" s="19"/>
      <c r="B584" s="20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27.0" customHeight="1">
      <c r="A585" s="19"/>
      <c r="B585" s="20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27.0" customHeight="1">
      <c r="A586" s="19"/>
      <c r="B586" s="20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27.0" customHeight="1">
      <c r="A587" s="19"/>
      <c r="B587" s="20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27.0" customHeight="1">
      <c r="A588" s="19"/>
      <c r="B588" s="20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27.0" customHeight="1">
      <c r="A589" s="19"/>
      <c r="B589" s="20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27.0" customHeight="1">
      <c r="A590" s="19"/>
      <c r="B590" s="20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27.0" customHeight="1">
      <c r="A591" s="19"/>
      <c r="B591" s="20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27.0" customHeight="1">
      <c r="A592" s="19"/>
      <c r="B592" s="20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27.0" customHeight="1">
      <c r="A593" s="19"/>
      <c r="B593" s="20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27.0" customHeight="1">
      <c r="A594" s="19"/>
      <c r="B594" s="20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27.0" customHeight="1">
      <c r="A595" s="19"/>
      <c r="B595" s="20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27.0" customHeight="1">
      <c r="A596" s="19"/>
      <c r="B596" s="20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27.0" customHeight="1">
      <c r="A597" s="19"/>
      <c r="B597" s="20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27.0" customHeight="1">
      <c r="A598" s="19"/>
      <c r="B598" s="20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27.0" customHeight="1">
      <c r="A599" s="19"/>
      <c r="B599" s="20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27.0" customHeight="1">
      <c r="A600" s="19"/>
      <c r="B600" s="20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27.0" customHeight="1">
      <c r="A601" s="19"/>
      <c r="B601" s="20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27.0" customHeight="1">
      <c r="A602" s="19"/>
      <c r="B602" s="20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27.0" customHeight="1">
      <c r="A603" s="19"/>
      <c r="B603" s="20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27.0" customHeight="1">
      <c r="A604" s="19"/>
      <c r="B604" s="20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27.0" customHeight="1">
      <c r="A605" s="19"/>
      <c r="B605" s="20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27.0" customHeight="1">
      <c r="A606" s="19"/>
      <c r="B606" s="20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27.0" customHeight="1">
      <c r="A607" s="19"/>
      <c r="B607" s="20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27.0" customHeight="1">
      <c r="A608" s="19"/>
      <c r="B608" s="20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27.0" customHeight="1">
      <c r="A609" s="19"/>
      <c r="B609" s="20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27.0" customHeight="1">
      <c r="A610" s="19"/>
      <c r="B610" s="20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27.0" customHeight="1">
      <c r="A611" s="19"/>
      <c r="B611" s="20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27.0" customHeight="1">
      <c r="A612" s="19"/>
      <c r="B612" s="20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27.0" customHeight="1">
      <c r="A613" s="19"/>
      <c r="B613" s="20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27.0" customHeight="1">
      <c r="A614" s="19"/>
      <c r="B614" s="20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27.0" customHeight="1">
      <c r="A615" s="19"/>
      <c r="B615" s="20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27.0" customHeight="1">
      <c r="A616" s="19"/>
      <c r="B616" s="20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27.0" customHeight="1">
      <c r="A617" s="19"/>
      <c r="B617" s="20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27.0" customHeight="1">
      <c r="A618" s="19"/>
      <c r="B618" s="20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27.0" customHeight="1">
      <c r="A619" s="19"/>
      <c r="B619" s="20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27.0" customHeight="1">
      <c r="A620" s="19"/>
      <c r="B620" s="20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27.0" customHeight="1">
      <c r="A621" s="19"/>
      <c r="B621" s="20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27.0" customHeight="1">
      <c r="A622" s="19"/>
      <c r="B622" s="20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27.0" customHeight="1">
      <c r="A623" s="19"/>
      <c r="B623" s="20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27.0" customHeight="1">
      <c r="A624" s="19"/>
      <c r="B624" s="20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27.0" customHeight="1">
      <c r="A625" s="19"/>
      <c r="B625" s="20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27.0" customHeight="1">
      <c r="A626" s="19"/>
      <c r="B626" s="20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27.0" customHeight="1">
      <c r="A627" s="19"/>
      <c r="B627" s="20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27.0" customHeight="1">
      <c r="A628" s="19"/>
      <c r="B628" s="20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27.0" customHeight="1">
      <c r="A629" s="19"/>
      <c r="B629" s="20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27.0" customHeight="1">
      <c r="A630" s="19"/>
      <c r="B630" s="20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27.0" customHeight="1">
      <c r="A631" s="19"/>
      <c r="B631" s="20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27.0" customHeight="1">
      <c r="A632" s="19"/>
      <c r="B632" s="20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27.0" customHeight="1">
      <c r="A633" s="19"/>
      <c r="B633" s="20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27.0" customHeight="1">
      <c r="A634" s="19"/>
      <c r="B634" s="20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27.0" customHeight="1">
      <c r="A635" s="19"/>
      <c r="B635" s="20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27.0" customHeight="1">
      <c r="A636" s="19"/>
      <c r="B636" s="20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27.0" customHeight="1">
      <c r="A637" s="19"/>
      <c r="B637" s="20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27.0" customHeight="1">
      <c r="A638" s="19"/>
      <c r="B638" s="20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27.0" customHeight="1">
      <c r="A639" s="19"/>
      <c r="B639" s="20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27.0" customHeight="1">
      <c r="A640" s="19"/>
      <c r="B640" s="20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27.0" customHeight="1">
      <c r="A641" s="19"/>
      <c r="B641" s="20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27.0" customHeight="1">
      <c r="A642" s="19"/>
      <c r="B642" s="20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27.0" customHeight="1">
      <c r="A643" s="19"/>
      <c r="B643" s="20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27.0" customHeight="1">
      <c r="A644" s="19"/>
      <c r="B644" s="20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27.0" customHeight="1">
      <c r="A645" s="19"/>
      <c r="B645" s="20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27.0" customHeight="1">
      <c r="A646" s="19"/>
      <c r="B646" s="20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27.0" customHeight="1">
      <c r="A647" s="19"/>
      <c r="B647" s="20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27.0" customHeight="1">
      <c r="A648" s="19"/>
      <c r="B648" s="20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27.0" customHeight="1">
      <c r="A649" s="19"/>
      <c r="B649" s="20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27.0" customHeight="1">
      <c r="A650" s="19"/>
      <c r="B650" s="20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27.0" customHeight="1">
      <c r="A651" s="19"/>
      <c r="B651" s="20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27.0" customHeight="1">
      <c r="A652" s="19"/>
      <c r="B652" s="20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27.0" customHeight="1">
      <c r="A653" s="19"/>
      <c r="B653" s="20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27.0" customHeight="1">
      <c r="A654" s="19"/>
      <c r="B654" s="20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27.0" customHeight="1">
      <c r="A655" s="19"/>
      <c r="B655" s="20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27.0" customHeight="1">
      <c r="A656" s="19"/>
      <c r="B656" s="20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27.0" customHeight="1">
      <c r="A657" s="19"/>
      <c r="B657" s="20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27.0" customHeight="1">
      <c r="A658" s="19"/>
      <c r="B658" s="20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27.0" customHeight="1">
      <c r="A659" s="19"/>
      <c r="B659" s="20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27.0" customHeight="1">
      <c r="A660" s="19"/>
      <c r="B660" s="20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27.0" customHeight="1">
      <c r="A661" s="19"/>
      <c r="B661" s="20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27.0" customHeight="1">
      <c r="A662" s="19"/>
      <c r="B662" s="20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27.0" customHeight="1">
      <c r="A663" s="19"/>
      <c r="B663" s="20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27.0" customHeight="1">
      <c r="A664" s="19"/>
      <c r="B664" s="20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27.0" customHeight="1">
      <c r="A665" s="19"/>
      <c r="B665" s="20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27.0" customHeight="1">
      <c r="A666" s="19"/>
      <c r="B666" s="20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27.0" customHeight="1">
      <c r="A667" s="19"/>
      <c r="B667" s="20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27.0" customHeight="1">
      <c r="A668" s="19"/>
      <c r="B668" s="20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27.0" customHeight="1">
      <c r="A669" s="19"/>
      <c r="B669" s="20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27.0" customHeight="1">
      <c r="A670" s="19"/>
      <c r="B670" s="20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27.0" customHeight="1">
      <c r="A671" s="19"/>
      <c r="B671" s="20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27.0" customHeight="1">
      <c r="A672" s="19"/>
      <c r="B672" s="20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27.0" customHeight="1">
      <c r="A673" s="19"/>
      <c r="B673" s="20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27.0" customHeight="1">
      <c r="A674" s="19"/>
      <c r="B674" s="20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27.0" customHeight="1">
      <c r="A675" s="19"/>
      <c r="B675" s="20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27.0" customHeight="1">
      <c r="A676" s="19"/>
      <c r="B676" s="20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27.0" customHeight="1">
      <c r="A677" s="19"/>
      <c r="B677" s="20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27.0" customHeight="1">
      <c r="A678" s="19"/>
      <c r="B678" s="20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27.0" customHeight="1">
      <c r="A679" s="19"/>
      <c r="B679" s="20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27.0" customHeight="1">
      <c r="A680" s="19"/>
      <c r="B680" s="20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27.0" customHeight="1">
      <c r="A681" s="19"/>
      <c r="B681" s="20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27.0" customHeight="1">
      <c r="A682" s="19"/>
      <c r="B682" s="20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27.0" customHeight="1">
      <c r="A683" s="19"/>
      <c r="B683" s="20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27.0" customHeight="1">
      <c r="A684" s="19"/>
      <c r="B684" s="20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27.0" customHeight="1">
      <c r="A685" s="19"/>
      <c r="B685" s="20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27.0" customHeight="1">
      <c r="A686" s="19"/>
      <c r="B686" s="20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27.0" customHeight="1">
      <c r="A687" s="19"/>
      <c r="B687" s="20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27.0" customHeight="1">
      <c r="A688" s="19"/>
      <c r="B688" s="20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27.0" customHeight="1">
      <c r="A689" s="19"/>
      <c r="B689" s="20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27.0" customHeight="1">
      <c r="A690" s="19"/>
      <c r="B690" s="20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27.0" customHeight="1">
      <c r="A691" s="19"/>
      <c r="B691" s="20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27.0" customHeight="1">
      <c r="A692" s="19"/>
      <c r="B692" s="20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27.0" customHeight="1">
      <c r="A693" s="19"/>
      <c r="B693" s="20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27.0" customHeight="1">
      <c r="A694" s="19"/>
      <c r="B694" s="20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27.0" customHeight="1">
      <c r="A695" s="19"/>
      <c r="B695" s="20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27.0" customHeight="1">
      <c r="A696" s="19"/>
      <c r="B696" s="20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27.0" customHeight="1">
      <c r="A697" s="19"/>
      <c r="B697" s="20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27.0" customHeight="1">
      <c r="A698" s="19"/>
      <c r="B698" s="20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27.0" customHeight="1">
      <c r="A699" s="19"/>
      <c r="B699" s="20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27.0" customHeight="1">
      <c r="A700" s="19"/>
      <c r="B700" s="20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27.0" customHeight="1">
      <c r="A701" s="19"/>
      <c r="B701" s="20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27.0" customHeight="1">
      <c r="A702" s="19"/>
      <c r="B702" s="20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27.0" customHeight="1">
      <c r="A703" s="19"/>
      <c r="B703" s="20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27.0" customHeight="1">
      <c r="A704" s="19"/>
      <c r="B704" s="20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27.0" customHeight="1">
      <c r="A705" s="19"/>
      <c r="B705" s="20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27.0" customHeight="1">
      <c r="A706" s="19"/>
      <c r="B706" s="20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27.0" customHeight="1">
      <c r="A707" s="19"/>
      <c r="B707" s="20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27.0" customHeight="1">
      <c r="A708" s="19"/>
      <c r="B708" s="20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27.0" customHeight="1">
      <c r="A709" s="19"/>
      <c r="B709" s="20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27.0" customHeight="1">
      <c r="A710" s="19"/>
      <c r="B710" s="20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27.0" customHeight="1">
      <c r="A711" s="19"/>
      <c r="B711" s="20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27.0" customHeight="1">
      <c r="A712" s="19"/>
      <c r="B712" s="20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27.0" customHeight="1">
      <c r="A713" s="19"/>
      <c r="B713" s="20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27.0" customHeight="1">
      <c r="A714" s="19"/>
      <c r="B714" s="20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27.0" customHeight="1">
      <c r="A715" s="19"/>
      <c r="B715" s="20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27.0" customHeight="1">
      <c r="A716" s="19"/>
      <c r="B716" s="20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27.0" customHeight="1">
      <c r="A717" s="19"/>
      <c r="B717" s="20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27.0" customHeight="1">
      <c r="A718" s="19"/>
      <c r="B718" s="20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27.0" customHeight="1">
      <c r="A719" s="19"/>
      <c r="B719" s="20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27.0" customHeight="1">
      <c r="A720" s="19"/>
      <c r="B720" s="20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27.0" customHeight="1">
      <c r="A721" s="19"/>
      <c r="B721" s="20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27.0" customHeight="1">
      <c r="A722" s="19"/>
      <c r="B722" s="20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27.0" customHeight="1">
      <c r="A723" s="19"/>
      <c r="B723" s="20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27.0" customHeight="1">
      <c r="A724" s="19"/>
      <c r="B724" s="20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27.0" customHeight="1">
      <c r="A725" s="19"/>
      <c r="B725" s="20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27.0" customHeight="1">
      <c r="A726" s="19"/>
      <c r="B726" s="20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27.0" customHeight="1">
      <c r="A727" s="19"/>
      <c r="B727" s="20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27.0" customHeight="1">
      <c r="A728" s="19"/>
      <c r="B728" s="20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27.0" customHeight="1">
      <c r="A729" s="19"/>
      <c r="B729" s="20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27.0" customHeight="1">
      <c r="A730" s="19"/>
      <c r="B730" s="20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27.0" customHeight="1">
      <c r="A731" s="19"/>
      <c r="B731" s="20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27.0" customHeight="1">
      <c r="A732" s="19"/>
      <c r="B732" s="20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27.0" customHeight="1">
      <c r="A733" s="19"/>
      <c r="B733" s="20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27.0" customHeight="1">
      <c r="A734" s="19"/>
      <c r="B734" s="20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27.0" customHeight="1">
      <c r="A735" s="19"/>
      <c r="B735" s="20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27.0" customHeight="1">
      <c r="A736" s="19"/>
      <c r="B736" s="20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27.0" customHeight="1">
      <c r="A737" s="19"/>
      <c r="B737" s="20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27.0" customHeight="1">
      <c r="A738" s="19"/>
      <c r="B738" s="20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27.0" customHeight="1">
      <c r="A739" s="19"/>
      <c r="B739" s="20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27.0" customHeight="1">
      <c r="A740" s="19"/>
      <c r="B740" s="20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27.0" customHeight="1">
      <c r="A741" s="19"/>
      <c r="B741" s="20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27.0" customHeight="1">
      <c r="A742" s="19"/>
      <c r="B742" s="20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27.0" customHeight="1">
      <c r="A743" s="19"/>
      <c r="B743" s="20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27.0" customHeight="1">
      <c r="A744" s="19"/>
      <c r="B744" s="20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27.0" customHeight="1">
      <c r="A745" s="19"/>
      <c r="B745" s="20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27.0" customHeight="1">
      <c r="A746" s="19"/>
      <c r="B746" s="20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27.0" customHeight="1">
      <c r="A747" s="19"/>
      <c r="B747" s="20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27.0" customHeight="1">
      <c r="A748" s="19"/>
      <c r="B748" s="20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27.0" customHeight="1">
      <c r="A749" s="19"/>
      <c r="B749" s="20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27.0" customHeight="1">
      <c r="A750" s="19"/>
      <c r="B750" s="20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27.0" customHeight="1">
      <c r="A751" s="19"/>
      <c r="B751" s="20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27.0" customHeight="1">
      <c r="A752" s="19"/>
      <c r="B752" s="20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27.0" customHeight="1">
      <c r="A753" s="19"/>
      <c r="B753" s="20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27.0" customHeight="1">
      <c r="A754" s="19"/>
      <c r="B754" s="20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27.0" customHeight="1">
      <c r="A755" s="19"/>
      <c r="B755" s="20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27.0" customHeight="1">
      <c r="A756" s="19"/>
      <c r="B756" s="20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27.0" customHeight="1">
      <c r="A757" s="19"/>
      <c r="B757" s="20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27.0" customHeight="1">
      <c r="A758" s="19"/>
      <c r="B758" s="20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27.0" customHeight="1">
      <c r="A759" s="19"/>
      <c r="B759" s="20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27.0" customHeight="1">
      <c r="A760" s="19"/>
      <c r="B760" s="20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27.0" customHeight="1">
      <c r="A761" s="19"/>
      <c r="B761" s="20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27.0" customHeight="1">
      <c r="A762" s="19"/>
      <c r="B762" s="20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27.0" customHeight="1">
      <c r="A763" s="19"/>
      <c r="B763" s="20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27.0" customHeight="1">
      <c r="A764" s="19"/>
      <c r="B764" s="20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27.0" customHeight="1">
      <c r="A765" s="19"/>
      <c r="B765" s="20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27.0" customHeight="1">
      <c r="A766" s="19"/>
      <c r="B766" s="20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27.0" customHeight="1">
      <c r="A767" s="19"/>
      <c r="B767" s="20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27.0" customHeight="1">
      <c r="A768" s="19"/>
      <c r="B768" s="20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27.0" customHeight="1">
      <c r="A769" s="19"/>
      <c r="B769" s="20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27.0" customHeight="1">
      <c r="A770" s="19"/>
      <c r="B770" s="20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27.0" customHeight="1">
      <c r="A771" s="19"/>
      <c r="B771" s="20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27.0" customHeight="1">
      <c r="A772" s="19"/>
      <c r="B772" s="20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27.0" customHeight="1">
      <c r="A773" s="19"/>
      <c r="B773" s="20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27.0" customHeight="1">
      <c r="A774" s="19"/>
      <c r="B774" s="20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27.0" customHeight="1">
      <c r="A775" s="19"/>
      <c r="B775" s="20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27.0" customHeight="1">
      <c r="A776" s="19"/>
      <c r="B776" s="20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27.0" customHeight="1">
      <c r="A777" s="19"/>
      <c r="B777" s="20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27.0" customHeight="1">
      <c r="A778" s="19"/>
      <c r="B778" s="20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27.0" customHeight="1">
      <c r="A779" s="19"/>
      <c r="B779" s="20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27.0" customHeight="1">
      <c r="A780" s="19"/>
      <c r="B780" s="20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27.0" customHeight="1">
      <c r="A781" s="19"/>
      <c r="B781" s="20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27.0" customHeight="1">
      <c r="A782" s="19"/>
      <c r="B782" s="20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27.0" customHeight="1">
      <c r="A783" s="19"/>
      <c r="B783" s="20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27.0" customHeight="1">
      <c r="A784" s="19"/>
      <c r="B784" s="20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27.0" customHeight="1">
      <c r="A785" s="19"/>
      <c r="B785" s="20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27.0" customHeight="1">
      <c r="A786" s="19"/>
      <c r="B786" s="20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27.0" customHeight="1">
      <c r="A787" s="19"/>
      <c r="B787" s="20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27.0" customHeight="1">
      <c r="A788" s="19"/>
      <c r="B788" s="20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27.0" customHeight="1">
      <c r="A789" s="19"/>
      <c r="B789" s="20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27.0" customHeight="1">
      <c r="A790" s="19"/>
      <c r="B790" s="20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27.0" customHeight="1">
      <c r="A791" s="19"/>
      <c r="B791" s="20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27.0" customHeight="1">
      <c r="A792" s="19"/>
      <c r="B792" s="20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27.0" customHeight="1">
      <c r="A793" s="19"/>
      <c r="B793" s="20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27.0" customHeight="1">
      <c r="A794" s="19"/>
      <c r="B794" s="20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27.0" customHeight="1">
      <c r="A795" s="19"/>
      <c r="B795" s="20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27.0" customHeight="1">
      <c r="A796" s="19"/>
      <c r="B796" s="20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27.0" customHeight="1">
      <c r="A797" s="19"/>
      <c r="B797" s="20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27.0" customHeight="1">
      <c r="A798" s="19"/>
      <c r="B798" s="20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27.0" customHeight="1">
      <c r="A799" s="19"/>
      <c r="B799" s="20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27.0" customHeight="1">
      <c r="A800" s="19"/>
      <c r="B800" s="20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27.0" customHeight="1">
      <c r="A801" s="19"/>
      <c r="B801" s="20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27.0" customHeight="1">
      <c r="A802" s="19"/>
      <c r="B802" s="20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27.0" customHeight="1">
      <c r="A803" s="19"/>
      <c r="B803" s="20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27.0" customHeight="1">
      <c r="A804" s="19"/>
      <c r="B804" s="20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27.0" customHeight="1">
      <c r="A805" s="19"/>
      <c r="B805" s="20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27.0" customHeight="1">
      <c r="A806" s="19"/>
      <c r="B806" s="20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27.0" customHeight="1">
      <c r="A807" s="19"/>
      <c r="B807" s="20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27.0" customHeight="1">
      <c r="A808" s="19"/>
      <c r="B808" s="20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27.0" customHeight="1">
      <c r="A809" s="19"/>
      <c r="B809" s="20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27.0" customHeight="1">
      <c r="A810" s="19"/>
      <c r="B810" s="20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27.0" customHeight="1">
      <c r="A811" s="19"/>
      <c r="B811" s="20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27.0" customHeight="1">
      <c r="A812" s="19"/>
      <c r="B812" s="20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27.0" customHeight="1">
      <c r="A813" s="19"/>
      <c r="B813" s="20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27.0" customHeight="1">
      <c r="A814" s="19"/>
      <c r="B814" s="20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27.0" customHeight="1">
      <c r="A815" s="19"/>
      <c r="B815" s="20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27.0" customHeight="1">
      <c r="A816" s="19"/>
      <c r="B816" s="20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27.0" customHeight="1">
      <c r="A817" s="19"/>
      <c r="B817" s="20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27.0" customHeight="1">
      <c r="A818" s="19"/>
      <c r="B818" s="20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27.0" customHeight="1">
      <c r="A819" s="19"/>
      <c r="B819" s="20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27.0" customHeight="1">
      <c r="A820" s="19"/>
      <c r="B820" s="20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27.0" customHeight="1">
      <c r="A821" s="19"/>
      <c r="B821" s="20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27.0" customHeight="1">
      <c r="A822" s="19"/>
      <c r="B822" s="20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27.0" customHeight="1">
      <c r="A823" s="19"/>
      <c r="B823" s="20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27.0" customHeight="1">
      <c r="A824" s="19"/>
      <c r="B824" s="20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27.0" customHeight="1">
      <c r="A825" s="19"/>
      <c r="B825" s="20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27.0" customHeight="1">
      <c r="A826" s="19"/>
      <c r="B826" s="20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27.0" customHeight="1">
      <c r="A827" s="19"/>
      <c r="B827" s="20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27.0" customHeight="1">
      <c r="A828" s="19"/>
      <c r="B828" s="20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27.0" customHeight="1">
      <c r="A829" s="19"/>
      <c r="B829" s="20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27.0" customHeight="1">
      <c r="A830" s="19"/>
      <c r="B830" s="20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27.0" customHeight="1">
      <c r="A831" s="19"/>
      <c r="B831" s="20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27.0" customHeight="1">
      <c r="A832" s="19"/>
      <c r="B832" s="20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27.0" customHeight="1">
      <c r="A833" s="19"/>
      <c r="B833" s="20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27.0" customHeight="1">
      <c r="A834" s="19"/>
      <c r="B834" s="20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27.0" customHeight="1">
      <c r="A835" s="19"/>
      <c r="B835" s="20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27.0" customHeight="1">
      <c r="A836" s="19"/>
      <c r="B836" s="20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27.0" customHeight="1">
      <c r="A837" s="19"/>
      <c r="B837" s="20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27.0" customHeight="1">
      <c r="A838" s="19"/>
      <c r="B838" s="20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27.0" customHeight="1">
      <c r="A839" s="19"/>
      <c r="B839" s="20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27.0" customHeight="1">
      <c r="A840" s="19"/>
      <c r="B840" s="20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27.0" customHeight="1">
      <c r="A841" s="19"/>
      <c r="B841" s="20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27.0" customHeight="1">
      <c r="A842" s="19"/>
      <c r="B842" s="20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27.0" customHeight="1">
      <c r="A843" s="19"/>
      <c r="B843" s="20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27.0" customHeight="1">
      <c r="A844" s="19"/>
      <c r="B844" s="20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27.0" customHeight="1">
      <c r="A845" s="19"/>
      <c r="B845" s="20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27.0" customHeight="1">
      <c r="A846" s="19"/>
      <c r="B846" s="20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27.0" customHeight="1">
      <c r="A847" s="19"/>
      <c r="B847" s="20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27.0" customHeight="1">
      <c r="A848" s="19"/>
      <c r="B848" s="20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27.0" customHeight="1">
      <c r="A849" s="19"/>
      <c r="B849" s="20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27.0" customHeight="1">
      <c r="A850" s="19"/>
      <c r="B850" s="20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27.0" customHeight="1">
      <c r="A851" s="19"/>
      <c r="B851" s="20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27.0" customHeight="1">
      <c r="A852" s="19"/>
      <c r="B852" s="20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27.0" customHeight="1">
      <c r="A853" s="19"/>
      <c r="B853" s="20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27.0" customHeight="1">
      <c r="A854" s="19"/>
      <c r="B854" s="20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27.0" customHeight="1">
      <c r="A855" s="19"/>
      <c r="B855" s="20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27.0" customHeight="1">
      <c r="A856" s="19"/>
      <c r="B856" s="20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27.0" customHeight="1">
      <c r="A857" s="19"/>
      <c r="B857" s="20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27.0" customHeight="1">
      <c r="A858" s="19"/>
      <c r="B858" s="20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27.0" customHeight="1">
      <c r="A859" s="19"/>
      <c r="B859" s="20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27.0" customHeight="1">
      <c r="A860" s="19"/>
      <c r="B860" s="20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27.0" customHeight="1">
      <c r="A861" s="19"/>
      <c r="B861" s="20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27.0" customHeight="1">
      <c r="A862" s="19"/>
      <c r="B862" s="20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27.0" customHeight="1">
      <c r="A863" s="19"/>
      <c r="B863" s="20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27.0" customHeight="1">
      <c r="A864" s="19"/>
      <c r="B864" s="20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27.0" customHeight="1">
      <c r="A865" s="19"/>
      <c r="B865" s="20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27.0" customHeight="1">
      <c r="A866" s="19"/>
      <c r="B866" s="20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27.0" customHeight="1">
      <c r="A867" s="19"/>
      <c r="B867" s="20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27.0" customHeight="1">
      <c r="A868" s="19"/>
      <c r="B868" s="20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27.0" customHeight="1">
      <c r="A869" s="19"/>
      <c r="B869" s="20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27.0" customHeight="1">
      <c r="A870" s="19"/>
      <c r="B870" s="20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27.0" customHeight="1">
      <c r="A871" s="19"/>
      <c r="B871" s="20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27.0" customHeight="1">
      <c r="A872" s="19"/>
      <c r="B872" s="20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27.0" customHeight="1">
      <c r="A873" s="19"/>
      <c r="B873" s="20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27.0" customHeight="1">
      <c r="A874" s="19"/>
      <c r="B874" s="20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27.0" customHeight="1">
      <c r="A875" s="19"/>
      <c r="B875" s="20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27.0" customHeight="1">
      <c r="A876" s="19"/>
      <c r="B876" s="20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27.0" customHeight="1">
      <c r="A877" s="19"/>
      <c r="B877" s="20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27.0" customHeight="1">
      <c r="A878" s="19"/>
      <c r="B878" s="20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27.0" customHeight="1">
      <c r="A879" s="19"/>
      <c r="B879" s="20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27.0" customHeight="1">
      <c r="A880" s="19"/>
      <c r="B880" s="20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27.0" customHeight="1">
      <c r="A881" s="19"/>
      <c r="B881" s="20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27.0" customHeight="1">
      <c r="A882" s="19"/>
      <c r="B882" s="20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27.0" customHeight="1">
      <c r="A883" s="19"/>
      <c r="B883" s="20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27.0" customHeight="1">
      <c r="A884" s="19"/>
      <c r="B884" s="20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27.0" customHeight="1">
      <c r="A885" s="19"/>
      <c r="B885" s="20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27.0" customHeight="1">
      <c r="A886" s="19"/>
      <c r="B886" s="20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27.0" customHeight="1">
      <c r="A887" s="19"/>
      <c r="B887" s="20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27.0" customHeight="1">
      <c r="A888" s="19"/>
      <c r="B888" s="20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27.0" customHeight="1">
      <c r="A889" s="19"/>
      <c r="B889" s="20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27.0" customHeight="1">
      <c r="A890" s="19"/>
      <c r="B890" s="20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27.0" customHeight="1">
      <c r="A891" s="19"/>
      <c r="B891" s="20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27.0" customHeight="1">
      <c r="A892" s="19"/>
      <c r="B892" s="20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27.0" customHeight="1">
      <c r="A893" s="19"/>
      <c r="B893" s="20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27.0" customHeight="1">
      <c r="A894" s="19"/>
      <c r="B894" s="20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27.0" customHeight="1">
      <c r="A895" s="19"/>
      <c r="B895" s="20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27.0" customHeight="1">
      <c r="A896" s="19"/>
      <c r="B896" s="20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27.0" customHeight="1">
      <c r="A897" s="19"/>
      <c r="B897" s="20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27.0" customHeight="1">
      <c r="A898" s="19"/>
      <c r="B898" s="20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27.0" customHeight="1">
      <c r="A899" s="19"/>
      <c r="B899" s="20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27.0" customHeight="1">
      <c r="A900" s="19"/>
      <c r="B900" s="20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27.0" customHeight="1">
      <c r="A901" s="19"/>
      <c r="B901" s="20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27.0" customHeight="1">
      <c r="A902" s="19"/>
      <c r="B902" s="20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27.0" customHeight="1">
      <c r="A903" s="19"/>
      <c r="B903" s="20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27.0" customHeight="1">
      <c r="A904" s="19"/>
      <c r="B904" s="20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27.0" customHeight="1">
      <c r="A905" s="19"/>
      <c r="B905" s="20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27.0" customHeight="1">
      <c r="A906" s="19"/>
      <c r="B906" s="20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27.0" customHeight="1">
      <c r="A907" s="19"/>
      <c r="B907" s="20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27.0" customHeight="1">
      <c r="A908" s="19"/>
      <c r="B908" s="20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27.0" customHeight="1">
      <c r="A909" s="19"/>
      <c r="B909" s="20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27.0" customHeight="1">
      <c r="A910" s="19"/>
      <c r="B910" s="20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27.0" customHeight="1">
      <c r="A911" s="19"/>
      <c r="B911" s="20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27.0" customHeight="1">
      <c r="A912" s="19"/>
      <c r="B912" s="20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27.0" customHeight="1">
      <c r="A913" s="19"/>
      <c r="B913" s="20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27.0" customHeight="1">
      <c r="A914" s="19"/>
      <c r="B914" s="20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27.0" customHeight="1">
      <c r="A915" s="19"/>
      <c r="B915" s="20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27.0" customHeight="1">
      <c r="A916" s="19"/>
      <c r="B916" s="20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27.0" customHeight="1">
      <c r="A917" s="19"/>
      <c r="B917" s="20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27.0" customHeight="1">
      <c r="A918" s="19"/>
      <c r="B918" s="20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27.0" customHeight="1">
      <c r="A919" s="19"/>
      <c r="B919" s="20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27.0" customHeight="1">
      <c r="A920" s="19"/>
      <c r="B920" s="20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27.0" customHeight="1">
      <c r="A921" s="19"/>
      <c r="B921" s="20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27.0" customHeight="1">
      <c r="A922" s="19"/>
      <c r="B922" s="20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27.0" customHeight="1">
      <c r="A923" s="19"/>
      <c r="B923" s="20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27.0" customHeight="1">
      <c r="A924" s="19"/>
      <c r="B924" s="20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27.0" customHeight="1">
      <c r="A925" s="19"/>
      <c r="B925" s="20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27.0" customHeight="1">
      <c r="A926" s="19"/>
      <c r="B926" s="20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27.0" customHeight="1">
      <c r="A927" s="19"/>
      <c r="B927" s="20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27.0" customHeight="1">
      <c r="A928" s="19"/>
      <c r="B928" s="20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27.0" customHeight="1">
      <c r="A929" s="19"/>
      <c r="B929" s="20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27.0" customHeight="1">
      <c r="A930" s="19"/>
      <c r="B930" s="20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27.0" customHeight="1">
      <c r="A931" s="19"/>
      <c r="B931" s="20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27.0" customHeight="1">
      <c r="A932" s="19"/>
      <c r="B932" s="20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27.0" customHeight="1">
      <c r="A933" s="19"/>
      <c r="B933" s="20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27.0" customHeight="1">
      <c r="A934" s="19"/>
      <c r="B934" s="20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27.0" customHeight="1">
      <c r="A935" s="19"/>
      <c r="B935" s="20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27.0" customHeight="1">
      <c r="A936" s="19"/>
      <c r="B936" s="20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27.0" customHeight="1">
      <c r="A937" s="19"/>
      <c r="B937" s="20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27.0" customHeight="1">
      <c r="A938" s="19"/>
      <c r="B938" s="20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27.0" customHeight="1">
      <c r="A939" s="19"/>
      <c r="B939" s="20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27.0" customHeight="1">
      <c r="A940" s="19"/>
      <c r="B940" s="20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27.0" customHeight="1">
      <c r="A941" s="19"/>
      <c r="B941" s="20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27.0" customHeight="1">
      <c r="A942" s="19"/>
      <c r="B942" s="20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27.0" customHeight="1">
      <c r="A943" s="19"/>
      <c r="B943" s="20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27.0" customHeight="1">
      <c r="A944" s="19"/>
      <c r="B944" s="20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27.0" customHeight="1">
      <c r="A945" s="19"/>
      <c r="B945" s="20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27.0" customHeight="1">
      <c r="A946" s="19"/>
      <c r="B946" s="20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27.0" customHeight="1">
      <c r="A947" s="19"/>
      <c r="B947" s="20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27.0" customHeight="1">
      <c r="A948" s="19"/>
      <c r="B948" s="20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27.0" customHeight="1">
      <c r="A949" s="19"/>
      <c r="B949" s="20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27.0" customHeight="1">
      <c r="A950" s="19"/>
      <c r="B950" s="20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27.0" customHeight="1">
      <c r="A951" s="19"/>
      <c r="B951" s="20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27.0" customHeight="1">
      <c r="A952" s="19"/>
      <c r="B952" s="20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27.0" customHeight="1">
      <c r="A953" s="19"/>
      <c r="B953" s="20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27.0" customHeight="1">
      <c r="A954" s="19"/>
      <c r="B954" s="20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27.0" customHeight="1">
      <c r="A955" s="19"/>
      <c r="B955" s="20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27.0" customHeight="1">
      <c r="A956" s="19"/>
      <c r="B956" s="20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27.0" customHeight="1">
      <c r="A957" s="19"/>
      <c r="B957" s="20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27.0" customHeight="1">
      <c r="A958" s="19"/>
      <c r="B958" s="20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27.0" customHeight="1">
      <c r="A959" s="19"/>
      <c r="B959" s="20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27.0" customHeight="1">
      <c r="A960" s="19"/>
      <c r="B960" s="20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27.0" customHeight="1">
      <c r="A961" s="19"/>
      <c r="B961" s="20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27.0" customHeight="1">
      <c r="A962" s="19"/>
      <c r="B962" s="20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27.0" customHeight="1">
      <c r="A963" s="19"/>
      <c r="B963" s="20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27.0" customHeight="1">
      <c r="A964" s="19"/>
      <c r="B964" s="20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27.0" customHeight="1">
      <c r="A965" s="19"/>
      <c r="B965" s="20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27.0" customHeight="1">
      <c r="A966" s="19"/>
      <c r="B966" s="20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27.0" customHeight="1">
      <c r="A967" s="19"/>
      <c r="B967" s="20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27.0" customHeight="1">
      <c r="A968" s="19"/>
      <c r="B968" s="20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27.0" customHeight="1">
      <c r="A969" s="19"/>
      <c r="B969" s="20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27.0" customHeight="1">
      <c r="A970" s="19"/>
      <c r="B970" s="20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27.0" customHeight="1">
      <c r="A971" s="19"/>
      <c r="B971" s="20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27.0" customHeight="1">
      <c r="A972" s="19"/>
      <c r="B972" s="20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27.0" customHeight="1">
      <c r="A973" s="19"/>
      <c r="B973" s="20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27.0" customHeight="1">
      <c r="A974" s="19"/>
      <c r="B974" s="20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27.0" customHeight="1">
      <c r="A975" s="19"/>
      <c r="B975" s="20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27.0" customHeight="1">
      <c r="A976" s="19"/>
      <c r="B976" s="20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27.0" customHeight="1">
      <c r="A977" s="19"/>
      <c r="B977" s="20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27.0" customHeight="1">
      <c r="A978" s="19"/>
      <c r="B978" s="20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27.0" customHeight="1">
      <c r="A979" s="19"/>
      <c r="B979" s="20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27.0" customHeight="1">
      <c r="A980" s="19"/>
      <c r="B980" s="20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27.0" customHeight="1">
      <c r="A981" s="19"/>
      <c r="B981" s="20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27.0" customHeight="1">
      <c r="A982" s="19"/>
      <c r="B982" s="20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27.0" customHeight="1">
      <c r="A983" s="19"/>
      <c r="B983" s="20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27.0" customHeight="1">
      <c r="A984" s="19"/>
      <c r="B984" s="20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27.0" customHeight="1">
      <c r="A985" s="19"/>
      <c r="B985" s="20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27.0" customHeight="1">
      <c r="A986" s="19"/>
      <c r="B986" s="20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27.0" customHeight="1">
      <c r="A987" s="19"/>
      <c r="B987" s="20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27.0" customHeight="1">
      <c r="A988" s="19"/>
      <c r="B988" s="20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27.0" customHeight="1">
      <c r="A989" s="19"/>
      <c r="B989" s="20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27.0" customHeight="1">
      <c r="A990" s="19"/>
      <c r="B990" s="20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27.0" customHeight="1">
      <c r="A991" s="19"/>
      <c r="B991" s="20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27.0" customHeight="1">
      <c r="A992" s="19"/>
      <c r="B992" s="20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27.0" customHeight="1">
      <c r="A993" s="19"/>
      <c r="B993" s="20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27.0" customHeight="1">
      <c r="A994" s="19"/>
      <c r="B994" s="20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27.0" customHeight="1">
      <c r="A995" s="19"/>
      <c r="B995" s="20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27.0" customHeight="1">
      <c r="A996" s="19"/>
      <c r="B996" s="20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27.0" customHeight="1">
      <c r="A997" s="19"/>
      <c r="B997" s="20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27.0" customHeight="1">
      <c r="A998" s="19"/>
      <c r="B998" s="20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27.0" customHeight="1">
      <c r="A999" s="19"/>
      <c r="B999" s="20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27.0" customHeight="1">
      <c r="A1000" s="19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4">
    <mergeCell ref="A2:M2"/>
    <mergeCell ref="A3:M3"/>
    <mergeCell ref="F5:H5"/>
    <mergeCell ref="L5:M5"/>
  </mergeCells>
  <printOptions/>
  <pageMargins bottom="0.2362204724409449" footer="0.0" header="0.0" left="0.2755905511811024" right="0.07874015748031496" top="0.6692913385826772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76" t="s">
        <v>16</v>
      </c>
      <c r="B1" s="77" t="s">
        <v>80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9"/>
    </row>
    <row r="2" ht="14.25" customHeight="1">
      <c r="A2" s="80"/>
      <c r="B2" s="81" t="s">
        <v>81</v>
      </c>
      <c r="C2" s="78"/>
      <c r="D2" s="78"/>
      <c r="E2" s="78"/>
      <c r="F2" s="78"/>
      <c r="G2" s="78"/>
      <c r="H2" s="78"/>
      <c r="I2" s="78"/>
      <c r="J2" s="78"/>
      <c r="K2" s="79"/>
      <c r="L2" s="82" t="s">
        <v>82</v>
      </c>
      <c r="M2" s="78"/>
      <c r="N2" s="78"/>
      <c r="O2" s="78"/>
      <c r="P2" s="78"/>
      <c r="Q2" s="78"/>
      <c r="R2" s="78"/>
      <c r="S2" s="78"/>
      <c r="T2" s="78"/>
      <c r="U2" s="79"/>
    </row>
    <row r="3" ht="14.25" customHeight="1">
      <c r="A3" s="80"/>
      <c r="B3" s="83" t="s">
        <v>83</v>
      </c>
      <c r="C3" s="84"/>
      <c r="D3" s="85" t="s">
        <v>84</v>
      </c>
      <c r="E3" s="84"/>
      <c r="F3" s="86" t="s">
        <v>85</v>
      </c>
      <c r="G3" s="84"/>
      <c r="H3" s="85" t="s">
        <v>86</v>
      </c>
      <c r="I3" s="84"/>
      <c r="J3" s="87" t="s">
        <v>87</v>
      </c>
      <c r="K3" s="88"/>
      <c r="L3" s="89" t="s">
        <v>83</v>
      </c>
      <c r="M3" s="84"/>
      <c r="N3" s="85" t="s">
        <v>84</v>
      </c>
      <c r="O3" s="84"/>
      <c r="P3" s="86" t="s">
        <v>85</v>
      </c>
      <c r="Q3" s="84"/>
      <c r="R3" s="85" t="s">
        <v>86</v>
      </c>
      <c r="S3" s="84"/>
      <c r="T3" s="87" t="s">
        <v>87</v>
      </c>
      <c r="U3" s="88"/>
    </row>
    <row r="4" ht="14.25" customHeight="1">
      <c r="A4" s="90"/>
      <c r="B4" s="91" t="s">
        <v>88</v>
      </c>
      <c r="C4" s="92" t="s">
        <v>89</v>
      </c>
      <c r="D4" s="93" t="s">
        <v>88</v>
      </c>
      <c r="E4" s="93" t="s">
        <v>89</v>
      </c>
      <c r="F4" s="94" t="s">
        <v>88</v>
      </c>
      <c r="G4" s="94" t="s">
        <v>89</v>
      </c>
      <c r="H4" s="93" t="s">
        <v>88</v>
      </c>
      <c r="I4" s="93" t="s">
        <v>89</v>
      </c>
      <c r="J4" s="92" t="s">
        <v>88</v>
      </c>
      <c r="K4" s="95" t="s">
        <v>89</v>
      </c>
      <c r="L4" s="91" t="s">
        <v>88</v>
      </c>
      <c r="M4" s="92" t="s">
        <v>89</v>
      </c>
      <c r="N4" s="93" t="s">
        <v>88</v>
      </c>
      <c r="O4" s="93" t="s">
        <v>89</v>
      </c>
      <c r="P4" s="94" t="s">
        <v>88</v>
      </c>
      <c r="Q4" s="94" t="s">
        <v>89</v>
      </c>
      <c r="R4" s="93" t="s">
        <v>88</v>
      </c>
      <c r="S4" s="93" t="s">
        <v>89</v>
      </c>
      <c r="T4" s="92" t="s">
        <v>88</v>
      </c>
      <c r="U4" s="95" t="s">
        <v>89</v>
      </c>
    </row>
    <row r="5" ht="14.25" customHeight="1">
      <c r="A5" s="96">
        <v>4.0</v>
      </c>
      <c r="B5" s="97">
        <v>0.0</v>
      </c>
      <c r="C5" s="98">
        <v>10.74</v>
      </c>
      <c r="D5" s="98">
        <f t="shared" ref="D5:D19" si="1">C5+0.01</f>
        <v>10.75</v>
      </c>
      <c r="E5" s="98">
        <v>13.92</v>
      </c>
      <c r="F5" s="98">
        <f t="shared" ref="F5:F19" si="2">E5+0.01</f>
        <v>13.93</v>
      </c>
      <c r="G5" s="98">
        <v>17.14</v>
      </c>
      <c r="H5" s="98">
        <f t="shared" ref="H5:H19" si="3">G5+0.01</f>
        <v>17.15</v>
      </c>
      <c r="I5" s="98">
        <v>20.31</v>
      </c>
      <c r="J5" s="98">
        <f t="shared" ref="J5:J19" si="4">I5+0.01</f>
        <v>20.32</v>
      </c>
      <c r="K5" s="99" t="s">
        <v>90</v>
      </c>
      <c r="L5" s="97">
        <v>0.0</v>
      </c>
      <c r="M5" s="98">
        <v>10.25</v>
      </c>
      <c r="N5" s="98">
        <f t="shared" ref="N5:N19" si="5">M5+0.01</f>
        <v>10.26</v>
      </c>
      <c r="O5" s="98">
        <v>13.35</v>
      </c>
      <c r="P5" s="98">
        <f t="shared" ref="P5:P19" si="6">O5+0.01</f>
        <v>13.36</v>
      </c>
      <c r="Q5" s="98">
        <v>16.52</v>
      </c>
      <c r="R5" s="98">
        <f t="shared" ref="R5:R19" si="7">Q5+0.01</f>
        <v>16.53</v>
      </c>
      <c r="S5" s="98">
        <v>19.68</v>
      </c>
      <c r="T5" s="98">
        <f t="shared" ref="T5:T19" si="8">S5+0.01</f>
        <v>19.69</v>
      </c>
      <c r="U5" s="99" t="s">
        <v>90</v>
      </c>
      <c r="W5" s="100"/>
      <c r="X5" s="100"/>
      <c r="Y5" s="100"/>
      <c r="Z5" s="100"/>
    </row>
    <row r="6" ht="14.25" customHeight="1">
      <c r="A6" s="101">
        <f t="shared" ref="A6:A19" si="9">A5+1</f>
        <v>5</v>
      </c>
      <c r="B6" s="102">
        <v>0.0</v>
      </c>
      <c r="C6" s="103">
        <v>11.14</v>
      </c>
      <c r="D6" s="103">
        <f t="shared" si="1"/>
        <v>11.15</v>
      </c>
      <c r="E6" s="103">
        <v>14.16</v>
      </c>
      <c r="F6" s="103">
        <f t="shared" si="2"/>
        <v>14.17</v>
      </c>
      <c r="G6" s="103">
        <v>17.24</v>
      </c>
      <c r="H6" s="103">
        <f t="shared" si="3"/>
        <v>17.25</v>
      </c>
      <c r="I6" s="103">
        <v>20.42</v>
      </c>
      <c r="J6" s="103">
        <f t="shared" si="4"/>
        <v>20.43</v>
      </c>
      <c r="K6" s="104"/>
      <c r="L6" s="102">
        <v>0.0</v>
      </c>
      <c r="M6" s="103">
        <v>10.34</v>
      </c>
      <c r="N6" s="103">
        <f t="shared" si="5"/>
        <v>10.35</v>
      </c>
      <c r="O6" s="103">
        <v>13.51</v>
      </c>
      <c r="P6" s="103">
        <f t="shared" si="6"/>
        <v>13.52</v>
      </c>
      <c r="Q6" s="103">
        <v>16.74</v>
      </c>
      <c r="R6" s="103">
        <f t="shared" si="7"/>
        <v>16.75</v>
      </c>
      <c r="S6" s="103">
        <v>20.05</v>
      </c>
      <c r="T6" s="103">
        <f t="shared" si="8"/>
        <v>20.06</v>
      </c>
      <c r="U6" s="104"/>
      <c r="W6" s="100"/>
      <c r="X6" s="100"/>
      <c r="Y6" s="100"/>
      <c r="Z6" s="100"/>
    </row>
    <row r="7" ht="14.25" customHeight="1">
      <c r="A7" s="105">
        <f t="shared" si="9"/>
        <v>6</v>
      </c>
      <c r="B7" s="106">
        <v>0.0</v>
      </c>
      <c r="C7" s="107">
        <v>11.27</v>
      </c>
      <c r="D7" s="107">
        <f t="shared" si="1"/>
        <v>11.28</v>
      </c>
      <c r="E7" s="107">
        <v>14.55</v>
      </c>
      <c r="F7" s="107">
        <f t="shared" si="2"/>
        <v>14.56</v>
      </c>
      <c r="G7" s="107">
        <v>17.81</v>
      </c>
      <c r="H7" s="107">
        <f t="shared" si="3"/>
        <v>17.82</v>
      </c>
      <c r="I7" s="107">
        <v>21.02</v>
      </c>
      <c r="J7" s="107">
        <f t="shared" si="4"/>
        <v>21.03</v>
      </c>
      <c r="K7" s="108"/>
      <c r="L7" s="109">
        <v>0.0</v>
      </c>
      <c r="M7" s="110">
        <v>10.61</v>
      </c>
      <c r="N7" s="110">
        <f t="shared" si="5"/>
        <v>10.62</v>
      </c>
      <c r="O7" s="110">
        <v>13.82</v>
      </c>
      <c r="P7" s="110">
        <f t="shared" si="6"/>
        <v>13.83</v>
      </c>
      <c r="Q7" s="110">
        <v>17.05</v>
      </c>
      <c r="R7" s="110">
        <f t="shared" si="7"/>
        <v>17.06</v>
      </c>
      <c r="S7" s="110">
        <v>20.31</v>
      </c>
      <c r="T7" s="110">
        <f t="shared" si="8"/>
        <v>20.32</v>
      </c>
      <c r="U7" s="111"/>
      <c r="W7" s="100"/>
      <c r="X7" s="100"/>
      <c r="Y7" s="100"/>
      <c r="Z7" s="100"/>
    </row>
    <row r="8" ht="14.25" customHeight="1">
      <c r="A8" s="112">
        <f t="shared" si="9"/>
        <v>7</v>
      </c>
      <c r="B8" s="113">
        <v>0.0</v>
      </c>
      <c r="C8" s="114">
        <v>10.23</v>
      </c>
      <c r="D8" s="114">
        <f t="shared" si="1"/>
        <v>10.24</v>
      </c>
      <c r="E8" s="114">
        <v>13.63</v>
      </c>
      <c r="F8" s="114">
        <f t="shared" si="2"/>
        <v>13.64</v>
      </c>
      <c r="G8" s="114">
        <v>16.93</v>
      </c>
      <c r="H8" s="114">
        <f t="shared" si="3"/>
        <v>16.94</v>
      </c>
      <c r="I8" s="114">
        <v>20.16</v>
      </c>
      <c r="J8" s="114">
        <f t="shared" si="4"/>
        <v>20.17</v>
      </c>
      <c r="K8" s="115" t="s">
        <v>90</v>
      </c>
      <c r="L8" s="116">
        <v>0.0</v>
      </c>
      <c r="M8" s="114">
        <v>10.96</v>
      </c>
      <c r="N8" s="114">
        <f t="shared" si="5"/>
        <v>10.97</v>
      </c>
      <c r="O8" s="114">
        <v>14.27</v>
      </c>
      <c r="P8" s="114">
        <f t="shared" si="6"/>
        <v>14.28</v>
      </c>
      <c r="Q8" s="114">
        <v>17.36</v>
      </c>
      <c r="R8" s="114">
        <f t="shared" si="7"/>
        <v>17.37</v>
      </c>
      <c r="S8" s="114">
        <v>20.49</v>
      </c>
      <c r="T8" s="114">
        <f t="shared" si="8"/>
        <v>20.5</v>
      </c>
      <c r="U8" s="115" t="s">
        <v>90</v>
      </c>
      <c r="W8" s="117"/>
      <c r="X8" s="117"/>
      <c r="Y8" s="117"/>
      <c r="Z8" s="117"/>
    </row>
    <row r="9" ht="14.25" customHeight="1">
      <c r="A9" s="118">
        <f t="shared" si="9"/>
        <v>8</v>
      </c>
      <c r="B9" s="119">
        <v>0.0</v>
      </c>
      <c r="C9" s="120">
        <v>10.47</v>
      </c>
      <c r="D9" s="120">
        <f t="shared" si="1"/>
        <v>10.48</v>
      </c>
      <c r="E9" s="120">
        <v>14.86</v>
      </c>
      <c r="F9" s="120">
        <f t="shared" si="2"/>
        <v>14.87</v>
      </c>
      <c r="G9" s="120">
        <v>17.95</v>
      </c>
      <c r="H9" s="120">
        <f t="shared" si="3"/>
        <v>17.96</v>
      </c>
      <c r="I9" s="120">
        <v>21.03</v>
      </c>
      <c r="J9" s="120">
        <f t="shared" si="4"/>
        <v>21.04</v>
      </c>
      <c r="K9" s="104"/>
      <c r="L9" s="121">
        <v>0.0</v>
      </c>
      <c r="M9" s="120">
        <v>10.99</v>
      </c>
      <c r="N9" s="120">
        <f t="shared" si="5"/>
        <v>11</v>
      </c>
      <c r="O9" s="120">
        <v>14.89</v>
      </c>
      <c r="P9" s="120">
        <f t="shared" si="6"/>
        <v>14.9</v>
      </c>
      <c r="Q9" s="120">
        <v>18.2</v>
      </c>
      <c r="R9" s="120">
        <f t="shared" si="7"/>
        <v>18.21</v>
      </c>
      <c r="S9" s="120">
        <v>21.54</v>
      </c>
      <c r="T9" s="120">
        <f t="shared" si="8"/>
        <v>21.55</v>
      </c>
      <c r="U9" s="104"/>
      <c r="W9" s="117"/>
      <c r="X9" s="117"/>
      <c r="Y9" s="117"/>
      <c r="Z9" s="117"/>
    </row>
    <row r="10" ht="14.25" customHeight="1">
      <c r="A10" s="118">
        <f t="shared" si="9"/>
        <v>9</v>
      </c>
      <c r="B10" s="119">
        <v>0.0</v>
      </c>
      <c r="C10" s="120">
        <v>10.86</v>
      </c>
      <c r="D10" s="120">
        <f t="shared" si="1"/>
        <v>10.87</v>
      </c>
      <c r="E10" s="120">
        <v>15.01</v>
      </c>
      <c r="F10" s="120">
        <f t="shared" si="2"/>
        <v>15.02</v>
      </c>
      <c r="G10" s="120">
        <v>18.58</v>
      </c>
      <c r="H10" s="120">
        <f t="shared" si="3"/>
        <v>18.59</v>
      </c>
      <c r="I10" s="120">
        <v>22.14</v>
      </c>
      <c r="J10" s="120">
        <f t="shared" si="4"/>
        <v>22.15</v>
      </c>
      <c r="K10" s="104"/>
      <c r="L10" s="121">
        <v>0.0</v>
      </c>
      <c r="M10" s="120">
        <v>11.03</v>
      </c>
      <c r="N10" s="120">
        <f t="shared" si="5"/>
        <v>11.04</v>
      </c>
      <c r="O10" s="120">
        <v>15.07</v>
      </c>
      <c r="P10" s="120">
        <f t="shared" si="6"/>
        <v>15.08</v>
      </c>
      <c r="Q10" s="120">
        <v>18.75</v>
      </c>
      <c r="R10" s="120">
        <f t="shared" si="7"/>
        <v>18.76</v>
      </c>
      <c r="S10" s="120">
        <v>22.39</v>
      </c>
      <c r="T10" s="120">
        <f t="shared" si="8"/>
        <v>22.4</v>
      </c>
      <c r="U10" s="104"/>
      <c r="W10" s="117"/>
      <c r="X10" s="117"/>
      <c r="Y10" s="117"/>
      <c r="Z10" s="117"/>
    </row>
    <row r="11" ht="14.25" customHeight="1">
      <c r="A11" s="118">
        <f t="shared" si="9"/>
        <v>10</v>
      </c>
      <c r="B11" s="119">
        <v>0.0</v>
      </c>
      <c r="C11" s="120">
        <v>10.97</v>
      </c>
      <c r="D11" s="120">
        <f t="shared" si="1"/>
        <v>10.98</v>
      </c>
      <c r="E11" s="120">
        <v>15.26</v>
      </c>
      <c r="F11" s="120">
        <f t="shared" si="2"/>
        <v>15.27</v>
      </c>
      <c r="G11" s="120">
        <v>19.22</v>
      </c>
      <c r="H11" s="120">
        <f t="shared" si="3"/>
        <v>19.23</v>
      </c>
      <c r="I11" s="120">
        <v>23.18</v>
      </c>
      <c r="J11" s="120">
        <f t="shared" si="4"/>
        <v>23.19</v>
      </c>
      <c r="K11" s="104"/>
      <c r="L11" s="121">
        <v>0.0</v>
      </c>
      <c r="M11" s="120">
        <v>11.25</v>
      </c>
      <c r="N11" s="120">
        <f t="shared" si="5"/>
        <v>11.26</v>
      </c>
      <c r="O11" s="120">
        <v>15.89</v>
      </c>
      <c r="P11" s="120">
        <f t="shared" si="6"/>
        <v>15.9</v>
      </c>
      <c r="Q11" s="120">
        <v>19.75</v>
      </c>
      <c r="R11" s="120">
        <f t="shared" si="7"/>
        <v>19.76</v>
      </c>
      <c r="S11" s="120">
        <v>23.63</v>
      </c>
      <c r="T11" s="120">
        <f t="shared" si="8"/>
        <v>23.64</v>
      </c>
      <c r="U11" s="104"/>
      <c r="W11" s="117"/>
      <c r="X11" s="117"/>
      <c r="Y11" s="117"/>
      <c r="Z11" s="117"/>
    </row>
    <row r="12" ht="14.25" customHeight="1">
      <c r="A12" s="118">
        <f t="shared" si="9"/>
        <v>11</v>
      </c>
      <c r="B12" s="119">
        <v>0.0</v>
      </c>
      <c r="C12" s="120">
        <v>11.57</v>
      </c>
      <c r="D12" s="120">
        <f t="shared" si="1"/>
        <v>11.58</v>
      </c>
      <c r="E12" s="120">
        <v>16.45</v>
      </c>
      <c r="F12" s="120">
        <f t="shared" si="2"/>
        <v>16.46</v>
      </c>
      <c r="G12" s="120">
        <v>20.45</v>
      </c>
      <c r="H12" s="120">
        <f t="shared" si="3"/>
        <v>20.46</v>
      </c>
      <c r="I12" s="120">
        <v>24.45</v>
      </c>
      <c r="J12" s="120">
        <f t="shared" si="4"/>
        <v>24.46</v>
      </c>
      <c r="K12" s="104"/>
      <c r="L12" s="121">
        <v>0.0</v>
      </c>
      <c r="M12" s="120">
        <v>11.9</v>
      </c>
      <c r="N12" s="120">
        <f t="shared" si="5"/>
        <v>11.91</v>
      </c>
      <c r="O12" s="120">
        <v>16.41</v>
      </c>
      <c r="P12" s="120">
        <f t="shared" si="6"/>
        <v>16.42</v>
      </c>
      <c r="Q12" s="120">
        <v>20.5</v>
      </c>
      <c r="R12" s="120">
        <f t="shared" si="7"/>
        <v>20.51</v>
      </c>
      <c r="S12" s="120">
        <v>24.61</v>
      </c>
      <c r="T12" s="120">
        <f t="shared" si="8"/>
        <v>24.62</v>
      </c>
      <c r="U12" s="104"/>
      <c r="W12" s="117"/>
      <c r="X12" s="117"/>
      <c r="Y12" s="117"/>
      <c r="Z12" s="117"/>
    </row>
    <row r="13" ht="14.25" customHeight="1">
      <c r="A13" s="122">
        <f t="shared" si="9"/>
        <v>12</v>
      </c>
      <c r="B13" s="123">
        <v>0.0</v>
      </c>
      <c r="C13" s="124">
        <v>11.89</v>
      </c>
      <c r="D13" s="124">
        <f t="shared" si="1"/>
        <v>11.9</v>
      </c>
      <c r="E13" s="124">
        <v>17.05</v>
      </c>
      <c r="F13" s="124">
        <f t="shared" si="2"/>
        <v>17.06</v>
      </c>
      <c r="G13" s="124">
        <v>21.26</v>
      </c>
      <c r="H13" s="124">
        <f t="shared" si="3"/>
        <v>21.27</v>
      </c>
      <c r="I13" s="124">
        <v>25.41</v>
      </c>
      <c r="J13" s="124">
        <f t="shared" si="4"/>
        <v>25.42</v>
      </c>
      <c r="K13" s="111"/>
      <c r="L13" s="125">
        <v>0.0</v>
      </c>
      <c r="M13" s="124">
        <v>11.04</v>
      </c>
      <c r="N13" s="124">
        <f t="shared" si="5"/>
        <v>11.05</v>
      </c>
      <c r="O13" s="124">
        <v>17.27</v>
      </c>
      <c r="P13" s="124">
        <f t="shared" si="6"/>
        <v>17.28</v>
      </c>
      <c r="Q13" s="124">
        <v>21.58</v>
      </c>
      <c r="R13" s="124">
        <f t="shared" si="7"/>
        <v>21.59</v>
      </c>
      <c r="S13" s="124">
        <v>25.87</v>
      </c>
      <c r="T13" s="124">
        <f t="shared" si="8"/>
        <v>25.88</v>
      </c>
      <c r="U13" s="111"/>
      <c r="W13" s="117"/>
      <c r="X13" s="117"/>
      <c r="Y13" s="117"/>
      <c r="Z13" s="117"/>
    </row>
    <row r="14" ht="14.25" customHeight="1">
      <c r="A14" s="126">
        <f t="shared" si="9"/>
        <v>13</v>
      </c>
      <c r="B14" s="127">
        <v>0.0</v>
      </c>
      <c r="C14" s="128">
        <v>12.02</v>
      </c>
      <c r="D14" s="128">
        <f t="shared" si="1"/>
        <v>12.03</v>
      </c>
      <c r="E14" s="128">
        <v>17.42</v>
      </c>
      <c r="F14" s="128">
        <f t="shared" si="2"/>
        <v>17.43</v>
      </c>
      <c r="G14" s="128">
        <v>21.6</v>
      </c>
      <c r="H14" s="128">
        <f t="shared" si="3"/>
        <v>21.61</v>
      </c>
      <c r="I14" s="128">
        <v>25.76</v>
      </c>
      <c r="J14" s="128">
        <f t="shared" si="4"/>
        <v>25.77</v>
      </c>
      <c r="K14" s="129" t="s">
        <v>90</v>
      </c>
      <c r="L14" s="130">
        <v>0.0</v>
      </c>
      <c r="M14" s="128">
        <v>12.74</v>
      </c>
      <c r="N14" s="128">
        <f t="shared" si="5"/>
        <v>12.75</v>
      </c>
      <c r="O14" s="128">
        <v>17.36</v>
      </c>
      <c r="P14" s="128">
        <f t="shared" si="6"/>
        <v>17.37</v>
      </c>
      <c r="Q14" s="128">
        <v>21.64</v>
      </c>
      <c r="R14" s="128">
        <f t="shared" si="7"/>
        <v>21.65</v>
      </c>
      <c r="S14" s="128">
        <v>25.85</v>
      </c>
      <c r="T14" s="128">
        <f t="shared" si="8"/>
        <v>25.86</v>
      </c>
      <c r="U14" s="129" t="s">
        <v>90</v>
      </c>
      <c r="W14" s="131"/>
      <c r="X14" s="131"/>
      <c r="Y14" s="131"/>
      <c r="Z14" s="131"/>
    </row>
    <row r="15" ht="14.25" customHeight="1">
      <c r="A15" s="132">
        <f t="shared" si="9"/>
        <v>14</v>
      </c>
      <c r="B15" s="133">
        <v>0.0</v>
      </c>
      <c r="C15" s="134">
        <v>12.53</v>
      </c>
      <c r="D15" s="134">
        <f t="shared" si="1"/>
        <v>12.54</v>
      </c>
      <c r="E15" s="134">
        <v>17.65</v>
      </c>
      <c r="F15" s="134">
        <f t="shared" si="2"/>
        <v>17.66</v>
      </c>
      <c r="G15" s="134">
        <v>21.95</v>
      </c>
      <c r="H15" s="134">
        <f t="shared" si="3"/>
        <v>21.96</v>
      </c>
      <c r="I15" s="134">
        <v>26.26</v>
      </c>
      <c r="J15" s="134">
        <f t="shared" si="4"/>
        <v>26.27</v>
      </c>
      <c r="K15" s="104"/>
      <c r="L15" s="135">
        <v>0.0</v>
      </c>
      <c r="M15" s="134">
        <v>13.19</v>
      </c>
      <c r="N15" s="134">
        <f t="shared" si="5"/>
        <v>13.2</v>
      </c>
      <c r="O15" s="134">
        <v>18.05</v>
      </c>
      <c r="P15" s="134">
        <f t="shared" si="6"/>
        <v>18.06</v>
      </c>
      <c r="Q15" s="134">
        <v>22.93</v>
      </c>
      <c r="R15" s="134">
        <f t="shared" si="7"/>
        <v>22.94</v>
      </c>
      <c r="S15" s="134">
        <v>26.91</v>
      </c>
      <c r="T15" s="134">
        <f t="shared" si="8"/>
        <v>26.92</v>
      </c>
      <c r="U15" s="104"/>
      <c r="W15" s="131"/>
      <c r="X15" s="131"/>
      <c r="Y15" s="131"/>
      <c r="Z15" s="131"/>
    </row>
    <row r="16" ht="14.25" customHeight="1">
      <c r="A16" s="132">
        <f t="shared" si="9"/>
        <v>15</v>
      </c>
      <c r="B16" s="133">
        <v>0.0</v>
      </c>
      <c r="C16" s="134">
        <v>12.72</v>
      </c>
      <c r="D16" s="134">
        <f t="shared" si="1"/>
        <v>12.73</v>
      </c>
      <c r="E16" s="134">
        <v>18.65</v>
      </c>
      <c r="F16" s="134">
        <f t="shared" si="2"/>
        <v>18.66</v>
      </c>
      <c r="G16" s="134">
        <v>23.24</v>
      </c>
      <c r="H16" s="134">
        <f t="shared" si="3"/>
        <v>23.25</v>
      </c>
      <c r="I16" s="134">
        <v>27.41</v>
      </c>
      <c r="J16" s="134">
        <f t="shared" si="4"/>
        <v>27.42</v>
      </c>
      <c r="K16" s="104"/>
      <c r="L16" s="135">
        <v>0.0</v>
      </c>
      <c r="M16" s="134">
        <v>13.65</v>
      </c>
      <c r="N16" s="134">
        <f t="shared" si="5"/>
        <v>13.66</v>
      </c>
      <c r="O16" s="134">
        <v>19.65</v>
      </c>
      <c r="P16" s="134">
        <f t="shared" si="6"/>
        <v>19.66</v>
      </c>
      <c r="Q16" s="134">
        <v>23.8</v>
      </c>
      <c r="R16" s="134">
        <f t="shared" si="7"/>
        <v>23.81</v>
      </c>
      <c r="S16" s="134">
        <v>27.89</v>
      </c>
      <c r="T16" s="134">
        <f t="shared" si="8"/>
        <v>27.9</v>
      </c>
      <c r="U16" s="104"/>
      <c r="W16" s="131"/>
      <c r="X16" s="131"/>
      <c r="Y16" s="131"/>
      <c r="Z16" s="131"/>
    </row>
    <row r="17" ht="14.25" customHeight="1">
      <c r="A17" s="132">
        <f t="shared" si="9"/>
        <v>16</v>
      </c>
      <c r="B17" s="133">
        <v>0.0</v>
      </c>
      <c r="C17" s="134">
        <v>13.3</v>
      </c>
      <c r="D17" s="134">
        <f t="shared" si="1"/>
        <v>13.31</v>
      </c>
      <c r="E17" s="134">
        <v>18.57</v>
      </c>
      <c r="F17" s="134">
        <f t="shared" si="2"/>
        <v>18.58</v>
      </c>
      <c r="G17" s="134">
        <v>23.6</v>
      </c>
      <c r="H17" s="134">
        <f t="shared" si="3"/>
        <v>23.61</v>
      </c>
      <c r="I17" s="134">
        <v>28.2</v>
      </c>
      <c r="J17" s="134">
        <f t="shared" si="4"/>
        <v>28.21</v>
      </c>
      <c r="K17" s="104"/>
      <c r="L17" s="135">
        <v>0.0</v>
      </c>
      <c r="M17" s="134">
        <v>13.88</v>
      </c>
      <c r="N17" s="134">
        <f t="shared" si="5"/>
        <v>13.89</v>
      </c>
      <c r="O17" s="134">
        <v>20.06</v>
      </c>
      <c r="P17" s="134">
        <f t="shared" si="6"/>
        <v>20.07</v>
      </c>
      <c r="Q17" s="134">
        <v>24.34</v>
      </c>
      <c r="R17" s="134">
        <f t="shared" si="7"/>
        <v>24.35</v>
      </c>
      <c r="S17" s="134">
        <v>28.47</v>
      </c>
      <c r="T17" s="134">
        <f t="shared" si="8"/>
        <v>28.48</v>
      </c>
      <c r="U17" s="104"/>
      <c r="W17" s="131"/>
      <c r="X17" s="131"/>
      <c r="Y17" s="131"/>
      <c r="Z17" s="131"/>
    </row>
    <row r="18" ht="14.25" customHeight="1">
      <c r="A18" s="132">
        <f t="shared" si="9"/>
        <v>17</v>
      </c>
      <c r="B18" s="133">
        <v>0.0</v>
      </c>
      <c r="C18" s="134">
        <v>13.88</v>
      </c>
      <c r="D18" s="134">
        <f t="shared" si="1"/>
        <v>13.89</v>
      </c>
      <c r="E18" s="134">
        <v>19.06</v>
      </c>
      <c r="F18" s="134">
        <f t="shared" si="2"/>
        <v>19.07</v>
      </c>
      <c r="G18" s="134">
        <v>23.87</v>
      </c>
      <c r="H18" s="134">
        <f t="shared" si="3"/>
        <v>23.88</v>
      </c>
      <c r="I18" s="134">
        <v>28.69</v>
      </c>
      <c r="J18" s="134">
        <f t="shared" si="4"/>
        <v>28.7</v>
      </c>
      <c r="K18" s="104"/>
      <c r="L18" s="135">
        <v>0.0</v>
      </c>
      <c r="M18" s="134">
        <v>13.92</v>
      </c>
      <c r="N18" s="134">
        <f t="shared" si="5"/>
        <v>13.93</v>
      </c>
      <c r="O18" s="134">
        <v>19.81</v>
      </c>
      <c r="P18" s="134">
        <f t="shared" si="6"/>
        <v>19.82</v>
      </c>
      <c r="Q18" s="134">
        <v>24.44</v>
      </c>
      <c r="R18" s="134">
        <f t="shared" si="7"/>
        <v>24.45</v>
      </c>
      <c r="S18" s="134">
        <v>28.91</v>
      </c>
      <c r="T18" s="134">
        <f t="shared" si="8"/>
        <v>28.92</v>
      </c>
      <c r="U18" s="104"/>
      <c r="W18" s="131"/>
      <c r="X18" s="131"/>
      <c r="Y18" s="131"/>
      <c r="Z18" s="131"/>
    </row>
    <row r="19" ht="14.25" customHeight="1">
      <c r="A19" s="136">
        <f t="shared" si="9"/>
        <v>18</v>
      </c>
      <c r="B19" s="137">
        <v>0.0</v>
      </c>
      <c r="C19" s="138">
        <v>13.97</v>
      </c>
      <c r="D19" s="138">
        <f t="shared" si="1"/>
        <v>13.98</v>
      </c>
      <c r="E19" s="138">
        <v>18.97</v>
      </c>
      <c r="F19" s="138">
        <f t="shared" si="2"/>
        <v>18.98</v>
      </c>
      <c r="G19" s="138">
        <v>23.86</v>
      </c>
      <c r="H19" s="138">
        <f t="shared" si="3"/>
        <v>23.87</v>
      </c>
      <c r="I19" s="138">
        <v>28.73</v>
      </c>
      <c r="J19" s="138">
        <f t="shared" si="4"/>
        <v>28.74</v>
      </c>
      <c r="K19" s="108"/>
      <c r="L19" s="139">
        <v>0.0</v>
      </c>
      <c r="M19" s="138">
        <v>14.18</v>
      </c>
      <c r="N19" s="138">
        <f t="shared" si="5"/>
        <v>14.19</v>
      </c>
      <c r="O19" s="138">
        <v>19.85</v>
      </c>
      <c r="P19" s="138">
        <f t="shared" si="6"/>
        <v>19.86</v>
      </c>
      <c r="Q19" s="138">
        <v>24.63</v>
      </c>
      <c r="R19" s="138">
        <f t="shared" si="7"/>
        <v>24.64</v>
      </c>
      <c r="S19" s="138">
        <v>29.4</v>
      </c>
      <c r="T19" s="138">
        <f t="shared" si="8"/>
        <v>29.41</v>
      </c>
      <c r="U19" s="108"/>
      <c r="W19" s="131"/>
      <c r="X19" s="131"/>
      <c r="Y19" s="131"/>
      <c r="Z19" s="131"/>
    </row>
    <row r="20" ht="14.25" customHeight="1">
      <c r="A20" s="140" t="s">
        <v>91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H3:I3"/>
    <mergeCell ref="J3:K3"/>
    <mergeCell ref="K5:K7"/>
    <mergeCell ref="K8:K13"/>
    <mergeCell ref="K14:K19"/>
    <mergeCell ref="L3:M3"/>
    <mergeCell ref="N3:O3"/>
    <mergeCell ref="P3:Q3"/>
    <mergeCell ref="R3:S3"/>
    <mergeCell ref="U5:U7"/>
    <mergeCell ref="U8:U13"/>
    <mergeCell ref="U14:U19"/>
    <mergeCell ref="A20:U20"/>
    <mergeCell ref="A1:A4"/>
    <mergeCell ref="B1:U1"/>
    <mergeCell ref="B2:K2"/>
    <mergeCell ref="L2:U2"/>
    <mergeCell ref="B3:C3"/>
    <mergeCell ref="D3:E3"/>
    <mergeCell ref="F3:G3"/>
    <mergeCell ref="T3:U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76" t="s">
        <v>16</v>
      </c>
      <c r="B1" s="143" t="s">
        <v>92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5"/>
    </row>
    <row r="2" ht="14.25" customHeight="1">
      <c r="A2" s="80"/>
      <c r="B2" s="81" t="s">
        <v>81</v>
      </c>
      <c r="C2" s="78"/>
      <c r="D2" s="78"/>
      <c r="E2" s="78"/>
      <c r="F2" s="78"/>
      <c r="G2" s="78"/>
      <c r="H2" s="78"/>
      <c r="I2" s="78"/>
      <c r="J2" s="78"/>
      <c r="K2" s="79"/>
      <c r="L2" s="82" t="s">
        <v>82</v>
      </c>
      <c r="M2" s="78"/>
      <c r="N2" s="78"/>
      <c r="O2" s="78"/>
      <c r="P2" s="78"/>
      <c r="Q2" s="78"/>
      <c r="R2" s="78"/>
      <c r="S2" s="78"/>
      <c r="T2" s="78"/>
      <c r="U2" s="79"/>
    </row>
    <row r="3" ht="14.25" customHeight="1">
      <c r="A3" s="80"/>
      <c r="B3" s="146" t="s">
        <v>93</v>
      </c>
      <c r="C3" s="84"/>
      <c r="D3" s="147" t="s">
        <v>94</v>
      </c>
      <c r="E3" s="84"/>
      <c r="F3" s="148" t="s">
        <v>95</v>
      </c>
      <c r="G3" s="84"/>
      <c r="H3" s="147" t="s">
        <v>96</v>
      </c>
      <c r="I3" s="84"/>
      <c r="J3" s="149" t="s">
        <v>97</v>
      </c>
      <c r="K3" s="88"/>
      <c r="L3" s="146" t="s">
        <v>93</v>
      </c>
      <c r="M3" s="84"/>
      <c r="N3" s="147" t="s">
        <v>94</v>
      </c>
      <c r="O3" s="84"/>
      <c r="P3" s="148" t="s">
        <v>95</v>
      </c>
      <c r="Q3" s="84"/>
      <c r="R3" s="147" t="s">
        <v>96</v>
      </c>
      <c r="S3" s="84"/>
      <c r="T3" s="149" t="s">
        <v>97</v>
      </c>
      <c r="U3" s="88"/>
    </row>
    <row r="4" ht="14.25" customHeight="1">
      <c r="A4" s="90"/>
      <c r="B4" s="91" t="s">
        <v>88</v>
      </c>
      <c r="C4" s="92" t="s">
        <v>89</v>
      </c>
      <c r="D4" s="93" t="s">
        <v>88</v>
      </c>
      <c r="E4" s="93" t="s">
        <v>89</v>
      </c>
      <c r="F4" s="94" t="s">
        <v>88</v>
      </c>
      <c r="G4" s="94" t="s">
        <v>89</v>
      </c>
      <c r="H4" s="93" t="s">
        <v>88</v>
      </c>
      <c r="I4" s="93" t="s">
        <v>89</v>
      </c>
      <c r="J4" s="92" t="s">
        <v>88</v>
      </c>
      <c r="K4" s="95" t="s">
        <v>89</v>
      </c>
      <c r="L4" s="91" t="s">
        <v>88</v>
      </c>
      <c r="M4" s="92" t="s">
        <v>89</v>
      </c>
      <c r="N4" s="93" t="s">
        <v>88</v>
      </c>
      <c r="O4" s="93" t="s">
        <v>89</v>
      </c>
      <c r="P4" s="94" t="s">
        <v>88</v>
      </c>
      <c r="Q4" s="94" t="s">
        <v>89</v>
      </c>
      <c r="R4" s="93" t="s">
        <v>88</v>
      </c>
      <c r="S4" s="93" t="s">
        <v>89</v>
      </c>
      <c r="T4" s="92" t="s">
        <v>88</v>
      </c>
      <c r="U4" s="95" t="s">
        <v>89</v>
      </c>
    </row>
    <row r="5" ht="14.25" customHeight="1">
      <c r="A5" s="150">
        <v>4.0</v>
      </c>
      <c r="B5" s="151">
        <v>0.0</v>
      </c>
      <c r="C5" s="152">
        <v>93.7</v>
      </c>
      <c r="D5" s="152">
        <f t="shared" ref="D5:D19" si="1">C5+0.1</f>
        <v>93.8</v>
      </c>
      <c r="E5" s="152">
        <v>95.8</v>
      </c>
      <c r="F5" s="152">
        <f t="shared" ref="F5:F19" si="2">E5+0.1</f>
        <v>95.9</v>
      </c>
      <c r="G5" s="152">
        <v>108.2</v>
      </c>
      <c r="H5" s="152">
        <f t="shared" ref="H5:H19" si="3">G5+0.1</f>
        <v>108.3</v>
      </c>
      <c r="I5" s="152">
        <v>110.2</v>
      </c>
      <c r="J5" s="152">
        <f t="shared" ref="J5:J19" si="4">I5+0.1</f>
        <v>110.3</v>
      </c>
      <c r="K5" s="153" t="s">
        <v>90</v>
      </c>
      <c r="L5" s="154">
        <v>0.0</v>
      </c>
      <c r="M5" s="152">
        <v>92.8</v>
      </c>
      <c r="N5" s="152">
        <f t="shared" ref="N5:N19" si="5">M5+0.1</f>
        <v>92.9</v>
      </c>
      <c r="O5" s="152">
        <v>94.9</v>
      </c>
      <c r="P5" s="152">
        <f t="shared" ref="P5:P19" si="6">O5+0.1</f>
        <v>95</v>
      </c>
      <c r="Q5" s="152">
        <v>106.9</v>
      </c>
      <c r="R5" s="152">
        <f t="shared" ref="R5:R19" si="7">Q5+0.1</f>
        <v>107</v>
      </c>
      <c r="S5" s="152">
        <v>108.9</v>
      </c>
      <c r="T5" s="152">
        <f t="shared" ref="T5:T19" si="8">S5+0.1</f>
        <v>109</v>
      </c>
      <c r="U5" s="155" t="s">
        <v>90</v>
      </c>
      <c r="V5" s="156"/>
      <c r="W5" s="156"/>
      <c r="X5" s="156"/>
      <c r="Y5" s="156"/>
      <c r="Z5" s="156"/>
    </row>
    <row r="6" ht="14.25" customHeight="1">
      <c r="A6" s="157">
        <f t="shared" ref="A6:A19" si="9">A5+1</f>
        <v>5</v>
      </c>
      <c r="B6" s="158">
        <v>0.0</v>
      </c>
      <c r="C6" s="159">
        <v>99.8</v>
      </c>
      <c r="D6" s="159">
        <f t="shared" si="1"/>
        <v>99.9</v>
      </c>
      <c r="E6" s="159">
        <v>101.9</v>
      </c>
      <c r="F6" s="159">
        <f t="shared" si="2"/>
        <v>102</v>
      </c>
      <c r="G6" s="159">
        <v>115.1</v>
      </c>
      <c r="H6" s="159">
        <f t="shared" si="3"/>
        <v>115.2</v>
      </c>
      <c r="I6" s="159">
        <v>117.3</v>
      </c>
      <c r="J6" s="159">
        <f t="shared" si="4"/>
        <v>117.4</v>
      </c>
      <c r="K6" s="104"/>
      <c r="L6" s="160">
        <v>0.0</v>
      </c>
      <c r="M6" s="159">
        <v>98.9</v>
      </c>
      <c r="N6" s="159">
        <f t="shared" si="5"/>
        <v>99</v>
      </c>
      <c r="O6" s="159">
        <v>101.0</v>
      </c>
      <c r="P6" s="159">
        <f t="shared" si="6"/>
        <v>101.1</v>
      </c>
      <c r="Q6" s="159">
        <v>113.9</v>
      </c>
      <c r="R6" s="159">
        <f t="shared" si="7"/>
        <v>114</v>
      </c>
      <c r="S6" s="159">
        <v>116.0</v>
      </c>
      <c r="T6" s="159">
        <f t="shared" si="8"/>
        <v>116.1</v>
      </c>
      <c r="U6" s="104"/>
      <c r="V6" s="156"/>
      <c r="W6" s="156"/>
      <c r="X6" s="156"/>
      <c r="Y6" s="156"/>
      <c r="Z6" s="156"/>
    </row>
    <row r="7" ht="14.25" customHeight="1">
      <c r="A7" s="161">
        <f t="shared" si="9"/>
        <v>6</v>
      </c>
      <c r="B7" s="162">
        <v>0.0</v>
      </c>
      <c r="C7" s="163">
        <v>105.3</v>
      </c>
      <c r="D7" s="163">
        <f t="shared" si="1"/>
        <v>105.4</v>
      </c>
      <c r="E7" s="163">
        <v>107.6</v>
      </c>
      <c r="F7" s="163">
        <f t="shared" si="2"/>
        <v>107.7</v>
      </c>
      <c r="G7" s="163">
        <v>121.3</v>
      </c>
      <c r="H7" s="163">
        <f t="shared" si="3"/>
        <v>121.4</v>
      </c>
      <c r="I7" s="163">
        <v>123.6</v>
      </c>
      <c r="J7" s="163">
        <f t="shared" si="4"/>
        <v>123.7</v>
      </c>
      <c r="K7" s="108"/>
      <c r="L7" s="164">
        <v>0.0</v>
      </c>
      <c r="M7" s="165">
        <v>105.1</v>
      </c>
      <c r="N7" s="165">
        <f t="shared" si="5"/>
        <v>105.2</v>
      </c>
      <c r="O7" s="165">
        <v>107.3</v>
      </c>
      <c r="P7" s="165">
        <f t="shared" si="6"/>
        <v>107.4</v>
      </c>
      <c r="Q7" s="165">
        <v>120.8</v>
      </c>
      <c r="R7" s="165">
        <f t="shared" si="7"/>
        <v>120.9</v>
      </c>
      <c r="S7" s="165">
        <v>123.0</v>
      </c>
      <c r="T7" s="165">
        <f t="shared" si="8"/>
        <v>123.1</v>
      </c>
      <c r="U7" s="111"/>
      <c r="V7" s="156"/>
      <c r="W7" s="156"/>
      <c r="X7" s="156"/>
      <c r="Y7" s="156"/>
      <c r="Z7" s="156"/>
    </row>
    <row r="8" ht="14.25" customHeight="1">
      <c r="A8" s="112">
        <f t="shared" si="9"/>
        <v>7</v>
      </c>
      <c r="B8" s="113">
        <v>0.0</v>
      </c>
      <c r="C8" s="166">
        <v>110.3</v>
      </c>
      <c r="D8" s="166">
        <f t="shared" si="1"/>
        <v>110.4</v>
      </c>
      <c r="E8" s="166">
        <v>112.7</v>
      </c>
      <c r="F8" s="166">
        <f t="shared" si="2"/>
        <v>112.8</v>
      </c>
      <c r="G8" s="166">
        <v>127.4</v>
      </c>
      <c r="H8" s="166">
        <f t="shared" si="3"/>
        <v>127.5</v>
      </c>
      <c r="I8" s="166">
        <v>129.8</v>
      </c>
      <c r="J8" s="166">
        <f t="shared" si="4"/>
        <v>129.9</v>
      </c>
      <c r="K8" s="167" t="s">
        <v>90</v>
      </c>
      <c r="L8" s="168">
        <v>0.0</v>
      </c>
      <c r="M8" s="166">
        <v>109.8</v>
      </c>
      <c r="N8" s="166">
        <f t="shared" si="5"/>
        <v>109.9</v>
      </c>
      <c r="O8" s="166">
        <v>112.3</v>
      </c>
      <c r="P8" s="166">
        <f t="shared" si="6"/>
        <v>112.4</v>
      </c>
      <c r="Q8" s="166">
        <v>126.8</v>
      </c>
      <c r="R8" s="166">
        <f t="shared" si="7"/>
        <v>126.9</v>
      </c>
      <c r="S8" s="166">
        <v>129.2</v>
      </c>
      <c r="T8" s="166">
        <f t="shared" si="8"/>
        <v>129.3</v>
      </c>
      <c r="U8" s="115" t="s">
        <v>90</v>
      </c>
      <c r="V8" s="117"/>
      <c r="W8" s="117"/>
      <c r="X8" s="117"/>
      <c r="Y8" s="117"/>
      <c r="Z8" s="117"/>
    </row>
    <row r="9" ht="14.25" customHeight="1">
      <c r="A9" s="118">
        <f t="shared" si="9"/>
        <v>8</v>
      </c>
      <c r="B9" s="119">
        <v>0.0</v>
      </c>
      <c r="C9" s="169">
        <v>114.7</v>
      </c>
      <c r="D9" s="169">
        <f t="shared" si="1"/>
        <v>114.8</v>
      </c>
      <c r="E9" s="169">
        <v>117.7</v>
      </c>
      <c r="F9" s="169">
        <f t="shared" si="2"/>
        <v>117.8</v>
      </c>
      <c r="G9" s="169">
        <v>133.2</v>
      </c>
      <c r="H9" s="169">
        <f t="shared" si="3"/>
        <v>133.3</v>
      </c>
      <c r="I9" s="169">
        <v>135.8</v>
      </c>
      <c r="J9" s="169">
        <f t="shared" si="4"/>
        <v>135.9</v>
      </c>
      <c r="K9" s="104"/>
      <c r="L9" s="170">
        <v>0.0</v>
      </c>
      <c r="M9" s="169">
        <v>114.3</v>
      </c>
      <c r="N9" s="169">
        <f t="shared" si="5"/>
        <v>114.4</v>
      </c>
      <c r="O9" s="169">
        <v>116.9</v>
      </c>
      <c r="P9" s="169">
        <f t="shared" si="6"/>
        <v>117</v>
      </c>
      <c r="Q9" s="169">
        <v>132.5</v>
      </c>
      <c r="R9" s="169">
        <f t="shared" si="7"/>
        <v>132.6</v>
      </c>
      <c r="S9" s="169">
        <v>135.1</v>
      </c>
      <c r="T9" s="169">
        <f t="shared" si="8"/>
        <v>135.2</v>
      </c>
      <c r="U9" s="104"/>
      <c r="V9" s="117"/>
      <c r="W9" s="117"/>
      <c r="X9" s="117"/>
      <c r="Y9" s="117"/>
      <c r="Z9" s="117"/>
    </row>
    <row r="10" ht="14.25" customHeight="1">
      <c r="A10" s="118">
        <f t="shared" si="9"/>
        <v>9</v>
      </c>
      <c r="B10" s="119">
        <v>0.0</v>
      </c>
      <c r="C10" s="169">
        <v>118.9</v>
      </c>
      <c r="D10" s="169">
        <f t="shared" si="1"/>
        <v>119</v>
      </c>
      <c r="E10" s="169">
        <v>121.7</v>
      </c>
      <c r="F10" s="169">
        <f t="shared" si="2"/>
        <v>121.8</v>
      </c>
      <c r="G10" s="169">
        <v>138.3</v>
      </c>
      <c r="H10" s="169">
        <f t="shared" si="3"/>
        <v>138.4</v>
      </c>
      <c r="I10" s="169">
        <v>140.9</v>
      </c>
      <c r="J10" s="169">
        <f t="shared" si="4"/>
        <v>141</v>
      </c>
      <c r="K10" s="104"/>
      <c r="L10" s="170">
        <v>0.0</v>
      </c>
      <c r="M10" s="169">
        <v>119.0</v>
      </c>
      <c r="N10" s="169">
        <f t="shared" si="5"/>
        <v>119.1</v>
      </c>
      <c r="O10" s="169">
        <v>121.8</v>
      </c>
      <c r="P10" s="169">
        <f t="shared" si="6"/>
        <v>121.9</v>
      </c>
      <c r="Q10" s="169">
        <v>139.1</v>
      </c>
      <c r="R10" s="169">
        <f t="shared" si="7"/>
        <v>139.2</v>
      </c>
      <c r="S10" s="169">
        <v>142.1</v>
      </c>
      <c r="T10" s="169">
        <f t="shared" si="8"/>
        <v>142.2</v>
      </c>
      <c r="U10" s="104"/>
      <c r="V10" s="117"/>
      <c r="W10" s="117"/>
      <c r="X10" s="117"/>
      <c r="Y10" s="117"/>
      <c r="Z10" s="117"/>
    </row>
    <row r="11" ht="14.25" customHeight="1">
      <c r="A11" s="118">
        <f t="shared" si="9"/>
        <v>10</v>
      </c>
      <c r="B11" s="119">
        <v>0.0</v>
      </c>
      <c r="C11" s="169">
        <v>123.2</v>
      </c>
      <c r="D11" s="169">
        <f t="shared" si="1"/>
        <v>123.3</v>
      </c>
      <c r="E11" s="169">
        <v>126.1</v>
      </c>
      <c r="F11" s="169">
        <f t="shared" si="2"/>
        <v>126.2</v>
      </c>
      <c r="G11" s="169">
        <v>143.4</v>
      </c>
      <c r="H11" s="169">
        <f t="shared" si="3"/>
        <v>143.5</v>
      </c>
      <c r="I11" s="169">
        <v>146.2</v>
      </c>
      <c r="J11" s="169">
        <f t="shared" si="4"/>
        <v>146.3</v>
      </c>
      <c r="K11" s="104"/>
      <c r="L11" s="170">
        <v>0.0</v>
      </c>
      <c r="M11" s="169">
        <v>124.0</v>
      </c>
      <c r="N11" s="169">
        <f t="shared" si="5"/>
        <v>124.1</v>
      </c>
      <c r="O11" s="169">
        <v>127.0</v>
      </c>
      <c r="P11" s="169">
        <f t="shared" si="6"/>
        <v>127.1</v>
      </c>
      <c r="Q11" s="169">
        <v>146.1</v>
      </c>
      <c r="R11" s="169">
        <f t="shared" si="7"/>
        <v>146.2</v>
      </c>
      <c r="S11" s="169">
        <v>149.4</v>
      </c>
      <c r="T11" s="169">
        <f t="shared" si="8"/>
        <v>149.5</v>
      </c>
      <c r="U11" s="104"/>
      <c r="V11" s="117"/>
      <c r="W11" s="117"/>
      <c r="X11" s="117"/>
      <c r="Y11" s="117"/>
      <c r="Z11" s="117"/>
    </row>
    <row r="12" ht="14.25" customHeight="1">
      <c r="A12" s="118">
        <f t="shared" si="9"/>
        <v>11</v>
      </c>
      <c r="B12" s="119">
        <v>0.0</v>
      </c>
      <c r="C12" s="169">
        <v>127.4</v>
      </c>
      <c r="D12" s="169">
        <f t="shared" si="1"/>
        <v>127.5</v>
      </c>
      <c r="E12" s="169">
        <v>130.4</v>
      </c>
      <c r="F12" s="169">
        <f t="shared" si="2"/>
        <v>130.5</v>
      </c>
      <c r="G12" s="169">
        <v>149.4</v>
      </c>
      <c r="H12" s="169">
        <f t="shared" si="3"/>
        <v>149.5</v>
      </c>
      <c r="I12" s="169">
        <v>152.8</v>
      </c>
      <c r="J12" s="169">
        <f t="shared" si="4"/>
        <v>152.9</v>
      </c>
      <c r="K12" s="104"/>
      <c r="L12" s="170">
        <v>0.0</v>
      </c>
      <c r="M12" s="169">
        <v>129.4</v>
      </c>
      <c r="N12" s="169">
        <f t="shared" si="5"/>
        <v>129.5</v>
      </c>
      <c r="O12" s="169">
        <v>132.8</v>
      </c>
      <c r="P12" s="169">
        <f t="shared" si="6"/>
        <v>132.9</v>
      </c>
      <c r="Q12" s="169">
        <v>152.6</v>
      </c>
      <c r="R12" s="169">
        <f t="shared" si="7"/>
        <v>152.7</v>
      </c>
      <c r="S12" s="169">
        <v>155.8</v>
      </c>
      <c r="T12" s="169">
        <f t="shared" si="8"/>
        <v>155.9</v>
      </c>
      <c r="U12" s="104"/>
      <c r="V12" s="117"/>
      <c r="W12" s="117"/>
      <c r="X12" s="117"/>
      <c r="Y12" s="117"/>
      <c r="Z12" s="117"/>
    </row>
    <row r="13" ht="14.25" customHeight="1">
      <c r="A13" s="122">
        <f t="shared" si="9"/>
        <v>12</v>
      </c>
      <c r="B13" s="123">
        <v>0.0</v>
      </c>
      <c r="C13" s="171">
        <v>131.5</v>
      </c>
      <c r="D13" s="171">
        <f t="shared" si="1"/>
        <v>131.6</v>
      </c>
      <c r="E13" s="171">
        <v>135.0</v>
      </c>
      <c r="F13" s="171">
        <f t="shared" si="2"/>
        <v>135.1</v>
      </c>
      <c r="G13" s="171">
        <v>156.9</v>
      </c>
      <c r="H13" s="171">
        <f t="shared" si="3"/>
        <v>157</v>
      </c>
      <c r="I13" s="171">
        <v>160.7</v>
      </c>
      <c r="J13" s="171">
        <f t="shared" si="4"/>
        <v>160.8</v>
      </c>
      <c r="K13" s="111"/>
      <c r="L13" s="172">
        <v>0.0</v>
      </c>
      <c r="M13" s="171">
        <v>135.3</v>
      </c>
      <c r="N13" s="171">
        <f t="shared" si="5"/>
        <v>135.4</v>
      </c>
      <c r="O13" s="171">
        <v>138.7</v>
      </c>
      <c r="P13" s="171">
        <f t="shared" si="6"/>
        <v>138.8</v>
      </c>
      <c r="Q13" s="171">
        <v>156.9</v>
      </c>
      <c r="R13" s="171">
        <f t="shared" si="7"/>
        <v>157</v>
      </c>
      <c r="S13" s="171">
        <v>159.5</v>
      </c>
      <c r="T13" s="171">
        <f t="shared" si="8"/>
        <v>159.6</v>
      </c>
      <c r="U13" s="111"/>
      <c r="V13" s="117"/>
      <c r="W13" s="117"/>
      <c r="X13" s="117"/>
      <c r="Y13" s="117"/>
      <c r="Z13" s="117"/>
    </row>
    <row r="14" ht="14.25" customHeight="1">
      <c r="A14" s="126">
        <f t="shared" si="9"/>
        <v>13</v>
      </c>
      <c r="B14" s="127">
        <v>0.0</v>
      </c>
      <c r="C14" s="173">
        <v>136.7</v>
      </c>
      <c r="D14" s="173">
        <f t="shared" si="1"/>
        <v>136.8</v>
      </c>
      <c r="E14" s="173">
        <v>140.8</v>
      </c>
      <c r="F14" s="173">
        <f t="shared" si="2"/>
        <v>140.9</v>
      </c>
      <c r="G14" s="173">
        <v>164.4</v>
      </c>
      <c r="H14" s="173">
        <f t="shared" si="3"/>
        <v>164.5</v>
      </c>
      <c r="I14" s="173">
        <v>168.2</v>
      </c>
      <c r="J14" s="173">
        <f t="shared" si="4"/>
        <v>168.3</v>
      </c>
      <c r="K14" s="174" t="s">
        <v>90</v>
      </c>
      <c r="L14" s="175">
        <v>0.0</v>
      </c>
      <c r="M14" s="173">
        <v>140.4</v>
      </c>
      <c r="N14" s="173">
        <f t="shared" si="5"/>
        <v>140.5</v>
      </c>
      <c r="O14" s="173">
        <v>143.4</v>
      </c>
      <c r="P14" s="173">
        <f t="shared" si="6"/>
        <v>143.5</v>
      </c>
      <c r="Q14" s="173">
        <v>160.2</v>
      </c>
      <c r="R14" s="173">
        <f t="shared" si="7"/>
        <v>160.3</v>
      </c>
      <c r="S14" s="173">
        <v>162.7</v>
      </c>
      <c r="T14" s="173">
        <f t="shared" si="8"/>
        <v>162.8</v>
      </c>
      <c r="U14" s="129" t="s">
        <v>90</v>
      </c>
      <c r="V14" s="131"/>
      <c r="W14" s="131"/>
      <c r="X14" s="131"/>
      <c r="Y14" s="131"/>
      <c r="Z14" s="131"/>
    </row>
    <row r="15" ht="14.25" customHeight="1">
      <c r="A15" s="132">
        <f t="shared" si="9"/>
        <v>14</v>
      </c>
      <c r="B15" s="133">
        <v>0.0</v>
      </c>
      <c r="C15" s="176">
        <v>142.9</v>
      </c>
      <c r="D15" s="176">
        <f t="shared" si="1"/>
        <v>143</v>
      </c>
      <c r="E15" s="176">
        <v>147.2</v>
      </c>
      <c r="F15" s="176">
        <f t="shared" si="2"/>
        <v>147.3</v>
      </c>
      <c r="G15" s="176">
        <v>170.0</v>
      </c>
      <c r="H15" s="176">
        <f t="shared" si="3"/>
        <v>170.1</v>
      </c>
      <c r="I15" s="176">
        <v>173.2</v>
      </c>
      <c r="J15" s="176">
        <f t="shared" si="4"/>
        <v>173.3</v>
      </c>
      <c r="K15" s="104"/>
      <c r="L15" s="177">
        <v>0.0</v>
      </c>
      <c r="M15" s="176">
        <v>144.3</v>
      </c>
      <c r="N15" s="176">
        <f t="shared" si="5"/>
        <v>144.4</v>
      </c>
      <c r="O15" s="176">
        <v>146.9</v>
      </c>
      <c r="P15" s="176">
        <f t="shared" si="6"/>
        <v>147</v>
      </c>
      <c r="Q15" s="176">
        <v>162.3</v>
      </c>
      <c r="R15" s="176">
        <f t="shared" si="7"/>
        <v>162.4</v>
      </c>
      <c r="S15" s="176">
        <v>164.8</v>
      </c>
      <c r="T15" s="176">
        <f t="shared" si="8"/>
        <v>164.9</v>
      </c>
      <c r="U15" s="104"/>
      <c r="V15" s="131"/>
      <c r="W15" s="131"/>
      <c r="X15" s="131"/>
      <c r="Y15" s="131"/>
      <c r="Z15" s="131"/>
    </row>
    <row r="16" ht="14.25" customHeight="1">
      <c r="A16" s="132">
        <f t="shared" si="9"/>
        <v>15</v>
      </c>
      <c r="B16" s="133">
        <v>0.0</v>
      </c>
      <c r="C16" s="176">
        <v>149.7</v>
      </c>
      <c r="D16" s="176">
        <f t="shared" si="1"/>
        <v>149.8</v>
      </c>
      <c r="E16" s="176">
        <v>153.4</v>
      </c>
      <c r="F16" s="176">
        <f t="shared" si="2"/>
        <v>153.5</v>
      </c>
      <c r="G16" s="176">
        <v>173.2</v>
      </c>
      <c r="H16" s="176">
        <f t="shared" si="3"/>
        <v>173.3</v>
      </c>
      <c r="I16" s="176">
        <v>176.0</v>
      </c>
      <c r="J16" s="176">
        <f t="shared" si="4"/>
        <v>176.1</v>
      </c>
      <c r="K16" s="104"/>
      <c r="L16" s="177">
        <v>0.0</v>
      </c>
      <c r="M16" s="176">
        <v>145.8</v>
      </c>
      <c r="N16" s="176">
        <f t="shared" si="5"/>
        <v>145.9</v>
      </c>
      <c r="O16" s="176">
        <v>148.3</v>
      </c>
      <c r="P16" s="176">
        <f t="shared" si="6"/>
        <v>148.4</v>
      </c>
      <c r="Q16" s="176">
        <v>163.5</v>
      </c>
      <c r="R16" s="176">
        <f t="shared" si="7"/>
        <v>163.6</v>
      </c>
      <c r="S16" s="176">
        <v>166.0</v>
      </c>
      <c r="T16" s="176">
        <f t="shared" si="8"/>
        <v>166.1</v>
      </c>
      <c r="U16" s="104"/>
      <c r="V16" s="131"/>
      <c r="W16" s="131"/>
      <c r="X16" s="131"/>
      <c r="Y16" s="131"/>
      <c r="Z16" s="131"/>
    </row>
    <row r="17" ht="14.25" customHeight="1">
      <c r="A17" s="132">
        <f t="shared" si="9"/>
        <v>16</v>
      </c>
      <c r="B17" s="133">
        <v>0.0</v>
      </c>
      <c r="C17" s="176">
        <v>155.1</v>
      </c>
      <c r="D17" s="176">
        <f t="shared" si="1"/>
        <v>155.2</v>
      </c>
      <c r="E17" s="176">
        <v>158.2</v>
      </c>
      <c r="F17" s="176">
        <f t="shared" si="2"/>
        <v>158.3</v>
      </c>
      <c r="G17" s="176">
        <v>175.9</v>
      </c>
      <c r="H17" s="176">
        <f t="shared" si="3"/>
        <v>176</v>
      </c>
      <c r="I17" s="176">
        <v>178.7</v>
      </c>
      <c r="J17" s="176">
        <f t="shared" si="4"/>
        <v>178.8</v>
      </c>
      <c r="K17" s="104"/>
      <c r="L17" s="177">
        <v>0.0</v>
      </c>
      <c r="M17" s="176">
        <v>146.5</v>
      </c>
      <c r="N17" s="176">
        <f t="shared" si="5"/>
        <v>146.6</v>
      </c>
      <c r="O17" s="176">
        <v>149.0</v>
      </c>
      <c r="P17" s="176">
        <f t="shared" si="6"/>
        <v>149.1</v>
      </c>
      <c r="Q17" s="176">
        <v>164.0</v>
      </c>
      <c r="R17" s="176">
        <f t="shared" si="7"/>
        <v>164.1</v>
      </c>
      <c r="S17" s="176">
        <v>166.5</v>
      </c>
      <c r="T17" s="176">
        <f t="shared" si="8"/>
        <v>166.6</v>
      </c>
      <c r="U17" s="104"/>
      <c r="V17" s="131"/>
      <c r="W17" s="131"/>
      <c r="X17" s="131"/>
      <c r="Y17" s="131"/>
      <c r="Z17" s="131"/>
    </row>
    <row r="18" ht="14.25" customHeight="1">
      <c r="A18" s="132">
        <f t="shared" si="9"/>
        <v>17</v>
      </c>
      <c r="B18" s="133">
        <v>0.0</v>
      </c>
      <c r="C18" s="176">
        <v>157.3</v>
      </c>
      <c r="D18" s="176">
        <f t="shared" si="1"/>
        <v>157.4</v>
      </c>
      <c r="E18" s="176">
        <v>160.3</v>
      </c>
      <c r="F18" s="176">
        <f t="shared" si="2"/>
        <v>160.4</v>
      </c>
      <c r="G18" s="176">
        <v>177.2</v>
      </c>
      <c r="H18" s="176">
        <f t="shared" si="3"/>
        <v>177.3</v>
      </c>
      <c r="I18" s="176">
        <v>179.8</v>
      </c>
      <c r="J18" s="176">
        <f t="shared" si="4"/>
        <v>179.9</v>
      </c>
      <c r="K18" s="104"/>
      <c r="L18" s="177">
        <v>0.0</v>
      </c>
      <c r="M18" s="176">
        <v>146.9</v>
      </c>
      <c r="N18" s="176">
        <f t="shared" si="5"/>
        <v>147</v>
      </c>
      <c r="O18" s="176">
        <v>149.4</v>
      </c>
      <c r="P18" s="176">
        <f t="shared" si="6"/>
        <v>149.5</v>
      </c>
      <c r="Q18" s="176">
        <v>164.2</v>
      </c>
      <c r="R18" s="176">
        <f t="shared" si="7"/>
        <v>164.3</v>
      </c>
      <c r="S18" s="176">
        <v>166.6</v>
      </c>
      <c r="T18" s="176">
        <f t="shared" si="8"/>
        <v>166.7</v>
      </c>
      <c r="U18" s="104"/>
      <c r="V18" s="131"/>
      <c r="W18" s="131"/>
      <c r="X18" s="131"/>
      <c r="Y18" s="131"/>
      <c r="Z18" s="131"/>
    </row>
    <row r="19" ht="14.25" customHeight="1">
      <c r="A19" s="136">
        <f t="shared" si="9"/>
        <v>18</v>
      </c>
      <c r="B19" s="137">
        <v>0.0</v>
      </c>
      <c r="C19" s="178">
        <v>158.6</v>
      </c>
      <c r="D19" s="178">
        <f t="shared" si="1"/>
        <v>158.7</v>
      </c>
      <c r="E19" s="178">
        <v>161.3</v>
      </c>
      <c r="F19" s="178">
        <f t="shared" si="2"/>
        <v>161.4</v>
      </c>
      <c r="G19" s="178">
        <v>177.5</v>
      </c>
      <c r="H19" s="178">
        <f t="shared" si="3"/>
        <v>177.6</v>
      </c>
      <c r="I19" s="178">
        <v>180.1</v>
      </c>
      <c r="J19" s="178">
        <f t="shared" si="4"/>
        <v>180.2</v>
      </c>
      <c r="K19" s="108"/>
      <c r="L19" s="179">
        <v>0.0</v>
      </c>
      <c r="M19" s="178">
        <v>147.3</v>
      </c>
      <c r="N19" s="178">
        <f t="shared" si="5"/>
        <v>147.4</v>
      </c>
      <c r="O19" s="178">
        <v>149.7</v>
      </c>
      <c r="P19" s="178">
        <f t="shared" si="6"/>
        <v>149.8</v>
      </c>
      <c r="Q19" s="178">
        <v>164.2</v>
      </c>
      <c r="R19" s="178">
        <f t="shared" si="7"/>
        <v>164.3</v>
      </c>
      <c r="S19" s="178">
        <v>166.6</v>
      </c>
      <c r="T19" s="178">
        <f t="shared" si="8"/>
        <v>166.7</v>
      </c>
      <c r="U19" s="108"/>
      <c r="V19" s="131"/>
      <c r="W19" s="131"/>
      <c r="X19" s="131"/>
      <c r="Y19" s="131"/>
      <c r="Z19" s="131"/>
    </row>
    <row r="20" ht="14.25" customHeight="1">
      <c r="A20" s="140" t="s">
        <v>98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H3:I3"/>
    <mergeCell ref="J3:K3"/>
    <mergeCell ref="K5:K7"/>
    <mergeCell ref="K8:K13"/>
    <mergeCell ref="K14:K19"/>
    <mergeCell ref="L3:M3"/>
    <mergeCell ref="N3:O3"/>
    <mergeCell ref="P3:Q3"/>
    <mergeCell ref="R3:S3"/>
    <mergeCell ref="U5:U7"/>
    <mergeCell ref="U8:U13"/>
    <mergeCell ref="U14:U19"/>
    <mergeCell ref="A20:U20"/>
    <mergeCell ref="A1:A4"/>
    <mergeCell ref="B1:U1"/>
    <mergeCell ref="B2:K2"/>
    <mergeCell ref="L2:U2"/>
    <mergeCell ref="B3:C3"/>
    <mergeCell ref="D3:E3"/>
    <mergeCell ref="F3:G3"/>
    <mergeCell ref="T3:U3"/>
  </mergeCells>
  <printOptions/>
  <pageMargins bottom="0.75" footer="0.0" header="0.0" left="0.7" right="0.7" top="0.75"/>
  <pageSetup orientation="landscape"/>
  <drawing r:id="rId1"/>
</worksheet>
</file>